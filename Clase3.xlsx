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Fundamentos\"/>
    </mc:Choice>
  </mc:AlternateContent>
  <xr:revisionPtr revIDLastSave="0" documentId="13_ncr:1_{E21A7667-A36E-46EB-BFFC-34B7059865A7}" xr6:coauthVersionLast="45" xr6:coauthVersionMax="45" xr10:uidLastSave="{00000000-0000-0000-0000-000000000000}"/>
  <bookViews>
    <workbookView xWindow="-120" yWindow="-120" windowWidth="15600" windowHeight="11160" firstSheet="1" activeTab="5" xr2:uid="{C5E09D76-DAE5-4D68-BD07-24CFEE489C5D}"/>
  </bookViews>
  <sheets>
    <sheet name="Hoja1" sheetId="1" r:id="rId1"/>
    <sheet name="Hoja2" sheetId="2" r:id="rId2"/>
    <sheet name="Hoja4" sheetId="4" r:id="rId3"/>
    <sheet name="feriados" sheetId="3" r:id="rId4"/>
    <sheet name="Hoja5" sheetId="5" r:id="rId5"/>
    <sheet name="Liquidación Octubre 2021" sheetId="6" r:id="rId6"/>
  </sheets>
  <definedNames>
    <definedName name="feriados">feriados!$A:$A</definedName>
    <definedName name="semana">Hoja4!$H$1:$I$7</definedName>
    <definedName name="semana2">Hoja4!$H$10:$I$16</definedName>
    <definedName name="subtotal">Hoja5!$F:$F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3" i="6" l="1"/>
  <c r="Z4" i="6"/>
  <c r="Z5" i="6"/>
  <c r="Z6" i="6"/>
  <c r="Z7" i="6"/>
  <c r="Y3" i="6"/>
  <c r="Y4" i="6"/>
  <c r="Y5" i="6"/>
  <c r="Y6" i="6"/>
  <c r="Y7" i="6"/>
  <c r="V3" i="6"/>
  <c r="W3" i="6"/>
  <c r="X3" i="6"/>
  <c r="W4" i="6"/>
  <c r="X4" i="6"/>
  <c r="W5" i="6"/>
  <c r="X5" i="6"/>
  <c r="W6" i="6"/>
  <c r="X6" i="6"/>
  <c r="W7" i="6"/>
  <c r="X7" i="6"/>
  <c r="V4" i="6"/>
  <c r="V5" i="6"/>
  <c r="V6" i="6"/>
  <c r="V7" i="6"/>
  <c r="X11" i="6"/>
  <c r="W11" i="6"/>
  <c r="V11" i="6"/>
  <c r="U3" i="6"/>
  <c r="U4" i="6"/>
  <c r="U5" i="6"/>
  <c r="U6" i="6"/>
  <c r="U7" i="6"/>
  <c r="T3" i="6"/>
  <c r="T4" i="6" l="1"/>
  <c r="T5" i="6"/>
  <c r="T6" i="6"/>
  <c r="T7" i="6"/>
  <c r="M3" i="6"/>
  <c r="M4" i="6"/>
  <c r="M5" i="6"/>
  <c r="M6" i="6"/>
  <c r="M7" i="6"/>
  <c r="L3" i="6"/>
  <c r="L4" i="6"/>
  <c r="L5" i="6"/>
  <c r="L6" i="6"/>
  <c r="L7" i="6"/>
  <c r="J4" i="6"/>
  <c r="J5" i="6"/>
  <c r="J6" i="6"/>
  <c r="J7" i="6"/>
  <c r="J13" i="6"/>
  <c r="J14" i="6"/>
  <c r="J12" i="6"/>
  <c r="J11" i="6"/>
  <c r="J3" i="6"/>
  <c r="G3" i="6"/>
  <c r="G4" i="6"/>
  <c r="G5" i="6"/>
  <c r="G6" i="6"/>
  <c r="G7" i="6"/>
  <c r="F6" i="5"/>
  <c r="I1" i="5"/>
  <c r="F3" i="5"/>
  <c r="F4" i="5"/>
  <c r="F5" i="5"/>
  <c r="D1" i="5"/>
  <c r="E3" i="5" s="1"/>
  <c r="B22" i="3"/>
  <c r="B21" i="3"/>
  <c r="B1" i="3"/>
  <c r="B2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E15" i="4"/>
  <c r="C15" i="4"/>
  <c r="A15" i="4"/>
  <c r="A4" i="4"/>
  <c r="A5" i="4"/>
  <c r="E7" i="4"/>
  <c r="C7" i="4"/>
  <c r="A7" i="4"/>
  <c r="E8" i="4"/>
  <c r="C8" i="4"/>
  <c r="A8" i="4"/>
  <c r="E5" i="4"/>
  <c r="C5" i="4"/>
  <c r="E3" i="4"/>
  <c r="C3" i="4"/>
  <c r="A3" i="4"/>
  <c r="B19" i="2"/>
  <c r="B18" i="2"/>
  <c r="B17" i="2"/>
  <c r="B9" i="2"/>
  <c r="B8" i="2"/>
  <c r="B7" i="2"/>
  <c r="B6" i="2"/>
  <c r="B1" i="1"/>
  <c r="A3" i="1" s="1"/>
  <c r="E6" i="5" l="1"/>
  <c r="E5" i="5"/>
  <c r="E4" i="5"/>
  <c r="B3" i="1"/>
</calcChain>
</file>

<file path=xl/sharedStrings.xml><?xml version="1.0" encoding="utf-8"?>
<sst xmlns="http://schemas.openxmlformats.org/spreadsheetml/2006/main" count="102" uniqueCount="65">
  <si>
    <t>Gestión de proyecto</t>
  </si>
  <si>
    <t>Cantidad días habiles:</t>
  </si>
  <si>
    <t>Fin del proyecto:</t>
  </si>
  <si>
    <t>Fin sin sab y dom:</t>
  </si>
  <si>
    <t>Día de la soberania</t>
  </si>
  <si>
    <t>Dia del Gremio</t>
  </si>
  <si>
    <t>Fin sin sab y dom y feriados</t>
  </si>
  <si>
    <t>Feriado Puente</t>
  </si>
  <si>
    <t>Inicio de proyecto:</t>
  </si>
  <si>
    <t>Inicio de Proyecto:</t>
  </si>
  <si>
    <t>Fin de Proyecto:</t>
  </si>
  <si>
    <t>Cantidad de días con sab dom y feriados:</t>
  </si>
  <si>
    <t>Cantidad de días sin sab dom:</t>
  </si>
  <si>
    <t>Cantidad de días sin sab dom y feriados:</t>
  </si>
  <si>
    <t>Lunes</t>
  </si>
  <si>
    <t>Martes</t>
  </si>
  <si>
    <t>Miércoles</t>
  </si>
  <si>
    <t>Jueves</t>
  </si>
  <si>
    <t>Viernes</t>
  </si>
  <si>
    <t>Sábado</t>
  </si>
  <si>
    <t>Domingo</t>
  </si>
  <si>
    <t>Día de la natividad</t>
  </si>
  <si>
    <t>fin de año</t>
  </si>
  <si>
    <t>Año nuevo</t>
  </si>
  <si>
    <t>Día de Reyes</t>
  </si>
  <si>
    <t>Días del borracho</t>
  </si>
  <si>
    <t>Tipo de vino</t>
  </si>
  <si>
    <t>Cantidad Litros</t>
  </si>
  <si>
    <t>Valor x Litro</t>
  </si>
  <si>
    <t>Fecha cosecha</t>
  </si>
  <si>
    <t>Antigüedad</t>
  </si>
  <si>
    <t>subtotal</t>
  </si>
  <si>
    <t>Torrontes</t>
  </si>
  <si>
    <t>Malbec</t>
  </si>
  <si>
    <t>Cabernet</t>
  </si>
  <si>
    <t>Valor Total:</t>
  </si>
  <si>
    <t>Pinot</t>
  </si>
  <si>
    <t>Legajo</t>
  </si>
  <si>
    <t>Sueldo Básico</t>
  </si>
  <si>
    <t>Valor x Hora</t>
  </si>
  <si>
    <t>Horas Extras Simples</t>
  </si>
  <si>
    <t>Horas Extras Dobles</t>
  </si>
  <si>
    <t>Total Hs Extras</t>
  </si>
  <si>
    <t>Ingreso Laboral</t>
  </si>
  <si>
    <t>Plus Antigüedad</t>
  </si>
  <si>
    <t>Nombre</t>
  </si>
  <si>
    <t>Apellido</t>
  </si>
  <si>
    <t>CUIT</t>
  </si>
  <si>
    <t>Cargo</t>
  </si>
  <si>
    <t>x</t>
  </si>
  <si>
    <t>Presentismo</t>
  </si>
  <si>
    <t>SI</t>
  </si>
  <si>
    <t>NO</t>
  </si>
  <si>
    <t>Conyugue</t>
  </si>
  <si>
    <t>Hijos</t>
  </si>
  <si>
    <t>Suma Remunerativa</t>
  </si>
  <si>
    <t>Suma No Remunerativa</t>
  </si>
  <si>
    <t>Viaticos</t>
  </si>
  <si>
    <t>SubTotal No Remunerativas</t>
  </si>
  <si>
    <t>Subtotal Remunerativas</t>
  </si>
  <si>
    <t>Jubilación</t>
  </si>
  <si>
    <t>Obra Social</t>
  </si>
  <si>
    <t>Aporte Sindical</t>
  </si>
  <si>
    <t>Total Descuentos</t>
  </si>
  <si>
    <t>Sueldo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</si>
</sst>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44" fontId="0" fillId="0" borderId="0" xfId="1" applyFont="1"/>
    <xf numFmtId="44" fontId="0" fillId="0" borderId="0" xfId="0" applyNumberFormat="1"/>
    <xf numFmtId="0" fontId="4" fillId="0" borderId="1" xfId="0" applyFont="1" applyBorder="1"/>
    <xf numFmtId="44" fontId="4" fillId="0" borderId="2" xfId="1" applyFont="1" applyBorder="1"/>
    <xf numFmtId="9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FE1C-75D0-4EC8-BE7E-DB59E8D9319B}">
  <dimension ref="A1:B3"/>
  <sheetViews>
    <sheetView workbookViewId="0">
      <selection activeCell="A4" sqref="A4"/>
    </sheetView>
  </sheetViews>
  <sheetFormatPr baseColWidth="10" defaultRowHeight="15" x14ac:dyDescent="0.25"/>
  <sheetData>
    <row r="1" spans="1:2" x14ac:dyDescent="0.25">
      <c r="A1" s="1">
        <v>44492</v>
      </c>
      <c r="B1" s="1">
        <f ca="1">TODAY()</f>
        <v>44506</v>
      </c>
    </row>
    <row r="3" spans="1:2" x14ac:dyDescent="0.25">
      <c r="A3">
        <f ca="1">B1-A1</f>
        <v>14</v>
      </c>
      <c r="B3" s="1">
        <f ca="1">B1+7</f>
        <v>44513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9FD2-262D-45BA-9C50-525505BD35A0}">
  <dimension ref="A1:F19"/>
  <sheetViews>
    <sheetView workbookViewId="0">
      <selection activeCell="B19" sqref="B19"/>
    </sheetView>
  </sheetViews>
  <sheetFormatPr baseColWidth="10" defaultRowHeight="15" x14ac:dyDescent="0.25"/>
  <cols>
    <col min="1" max="1" width="37.28515625" bestFit="1" customWidth="1"/>
    <col min="2" max="2" width="12.140625" customWidth="1"/>
  </cols>
  <sheetData>
    <row r="1" spans="1:6" ht="26.25" x14ac:dyDescent="0.4">
      <c r="A1" s="2" t="s">
        <v>0</v>
      </c>
      <c r="B1" s="2"/>
      <c r="C1" s="2"/>
      <c r="D1" s="2"/>
      <c r="E1" s="2"/>
      <c r="F1" s="2"/>
    </row>
    <row r="3" spans="1:6" x14ac:dyDescent="0.25">
      <c r="A3" t="s">
        <v>8</v>
      </c>
      <c r="B3" s="1">
        <v>44506</v>
      </c>
    </row>
    <row r="4" spans="1:6" x14ac:dyDescent="0.25">
      <c r="A4" t="s">
        <v>1</v>
      </c>
      <c r="B4">
        <v>200</v>
      </c>
    </row>
    <row r="6" spans="1:6" x14ac:dyDescent="0.25">
      <c r="A6" t="s">
        <v>2</v>
      </c>
      <c r="B6" s="1">
        <f>B3+B4</f>
        <v>44706</v>
      </c>
    </row>
    <row r="7" spans="1:6" x14ac:dyDescent="0.25">
      <c r="A7" t="s">
        <v>3</v>
      </c>
      <c r="B7" s="1">
        <f>WORKDAY(B3,B4)</f>
        <v>44785</v>
      </c>
    </row>
    <row r="8" spans="1:6" x14ac:dyDescent="0.25">
      <c r="A8" t="s">
        <v>6</v>
      </c>
      <c r="B8" s="1">
        <f>WORKDAY(B3,B4,feriados!A1:A100)</f>
        <v>44805</v>
      </c>
    </row>
    <row r="9" spans="1:6" x14ac:dyDescent="0.25">
      <c r="B9" s="1">
        <f>WORKDAY(B3,B4,feriados)</f>
        <v>44805</v>
      </c>
    </row>
    <row r="12" spans="1:6" ht="26.25" x14ac:dyDescent="0.4">
      <c r="A12" s="2" t="s">
        <v>0</v>
      </c>
      <c r="B12" s="2"/>
      <c r="C12" s="2"/>
      <c r="D12" s="2"/>
      <c r="E12" s="2"/>
      <c r="F12" s="2"/>
    </row>
    <row r="14" spans="1:6" x14ac:dyDescent="0.25">
      <c r="A14" t="s">
        <v>9</v>
      </c>
      <c r="B14" s="1">
        <v>44506</v>
      </c>
    </row>
    <row r="15" spans="1:6" x14ac:dyDescent="0.25">
      <c r="A15" t="s">
        <v>10</v>
      </c>
      <c r="B15" s="1">
        <v>44854</v>
      </c>
    </row>
    <row r="17" spans="1:2" x14ac:dyDescent="0.25">
      <c r="A17" t="s">
        <v>11</v>
      </c>
      <c r="B17">
        <f>B15-B14</f>
        <v>348</v>
      </c>
    </row>
    <row r="18" spans="1:2" x14ac:dyDescent="0.25">
      <c r="A18" t="s">
        <v>12</v>
      </c>
      <c r="B18">
        <f>NETWORKDAYS(B14,B15)</f>
        <v>249</v>
      </c>
    </row>
    <row r="19" spans="1:2" x14ac:dyDescent="0.25">
      <c r="A19" t="s">
        <v>13</v>
      </c>
      <c r="B19">
        <f>NETWORKDAYS(B14,B15,feriados)</f>
        <v>234</v>
      </c>
    </row>
  </sheetData>
  <mergeCells count="2">
    <mergeCell ref="A1:F1"/>
    <mergeCell ref="A12:F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F538-8ED7-4C67-8A09-3C79F10C0E86}">
  <dimension ref="A1:I16"/>
  <sheetViews>
    <sheetView workbookViewId="0">
      <selection activeCell="A16" sqref="A16"/>
    </sheetView>
  </sheetViews>
  <sheetFormatPr baseColWidth="10" defaultRowHeight="15" x14ac:dyDescent="0.25"/>
  <cols>
    <col min="1" max="1" width="11.85546875" bestFit="1" customWidth="1"/>
  </cols>
  <sheetData>
    <row r="1" spans="1:9" x14ac:dyDescent="0.25">
      <c r="A1" s="1">
        <v>40206</v>
      </c>
      <c r="C1" s="1">
        <v>26697</v>
      </c>
      <c r="E1" s="1">
        <v>44562</v>
      </c>
      <c r="H1">
        <v>1</v>
      </c>
      <c r="I1" t="s">
        <v>14</v>
      </c>
    </row>
    <row r="2" spans="1:9" x14ac:dyDescent="0.25">
      <c r="H2">
        <v>2</v>
      </c>
      <c r="I2" t="s">
        <v>15</v>
      </c>
    </row>
    <row r="3" spans="1:9" x14ac:dyDescent="0.25">
      <c r="A3">
        <f>WEEKDAY(A1,2)</f>
        <v>4</v>
      </c>
      <c r="C3">
        <f>WEEKDAY(C1,2)</f>
        <v>5</v>
      </c>
      <c r="E3">
        <f>WEEKDAY(E1,2)</f>
        <v>6</v>
      </c>
      <c r="H3">
        <v>3</v>
      </c>
      <c r="I3" t="s">
        <v>16</v>
      </c>
    </row>
    <row r="4" spans="1:9" x14ac:dyDescent="0.25">
      <c r="A4" t="str">
        <f>VLOOKUP(A3,$H$1:$I$7,2)</f>
        <v>Jueves</v>
      </c>
      <c r="H4">
        <v>4</v>
      </c>
      <c r="I4" t="s">
        <v>17</v>
      </c>
    </row>
    <row r="5" spans="1:9" x14ac:dyDescent="0.25">
      <c r="A5" t="str">
        <f>VLOOKUP(A3,semana,2,FALSE)</f>
        <v>Jueves</v>
      </c>
      <c r="C5" t="str">
        <f>VLOOKUP(C3,semana,2)</f>
        <v>Viernes</v>
      </c>
      <c r="E5" t="str">
        <f>VLOOKUP(E3,semana,2)</f>
        <v>Sábado</v>
      </c>
      <c r="H5">
        <v>5</v>
      </c>
      <c r="I5" t="s">
        <v>18</v>
      </c>
    </row>
    <row r="6" spans="1:9" x14ac:dyDescent="0.25">
      <c r="H6">
        <v>6</v>
      </c>
      <c r="I6" t="s">
        <v>19</v>
      </c>
    </row>
    <row r="7" spans="1:9" x14ac:dyDescent="0.25">
      <c r="A7" t="str">
        <f>VLOOKUP(A3,semana,2,TRUE)</f>
        <v>Jueves</v>
      </c>
      <c r="C7" t="str">
        <f>VLOOKUP(C3,semana,2,TRUE)</f>
        <v>Viernes</v>
      </c>
      <c r="E7" t="str">
        <f>VLOOKUP(E3,semana,2,TRUE)</f>
        <v>Sábado</v>
      </c>
      <c r="H7">
        <v>7</v>
      </c>
      <c r="I7" t="s">
        <v>20</v>
      </c>
    </row>
    <row r="8" spans="1:9" x14ac:dyDescent="0.25">
      <c r="A8" t="str">
        <f>VLOOKUP(A3,semana2,2,TRUE)</f>
        <v>Lunes</v>
      </c>
      <c r="C8" t="str">
        <f>VLOOKUP(C3,semana2,2,TRUE)</f>
        <v>Viernes</v>
      </c>
      <c r="E8" t="str">
        <f>VLOOKUP(E3,semana2,2,TRUE)</f>
        <v>Sábado</v>
      </c>
    </row>
    <row r="10" spans="1:9" x14ac:dyDescent="0.25">
      <c r="H10">
        <v>4</v>
      </c>
      <c r="I10" t="s">
        <v>17</v>
      </c>
    </row>
    <row r="11" spans="1:9" x14ac:dyDescent="0.25">
      <c r="H11">
        <v>7</v>
      </c>
      <c r="I11" t="s">
        <v>20</v>
      </c>
    </row>
    <row r="12" spans="1:9" x14ac:dyDescent="0.25">
      <c r="H12">
        <v>3</v>
      </c>
      <c r="I12" t="s">
        <v>16</v>
      </c>
    </row>
    <row r="13" spans="1:9" x14ac:dyDescent="0.25">
      <c r="H13">
        <v>1</v>
      </c>
      <c r="I13" t="s">
        <v>14</v>
      </c>
    </row>
    <row r="14" spans="1:9" x14ac:dyDescent="0.25">
      <c r="H14">
        <v>5</v>
      </c>
      <c r="I14" t="s">
        <v>18</v>
      </c>
    </row>
    <row r="15" spans="1:9" x14ac:dyDescent="0.25">
      <c r="A15" t="str">
        <f>VLOOKUP(WEEKDAY(A1,2),semana,2)</f>
        <v>Jueves</v>
      </c>
      <c r="C15" t="str">
        <f>VLOOKUP(WEEKDAY(C1,2),semana,2)</f>
        <v>Viernes</v>
      </c>
      <c r="E15" t="str">
        <f>VLOOKUP(WEEKDAY(E1,2),semana,2)</f>
        <v>Sábado</v>
      </c>
      <c r="H15">
        <v>6</v>
      </c>
      <c r="I15" t="s">
        <v>19</v>
      </c>
    </row>
    <row r="16" spans="1:9" x14ac:dyDescent="0.25">
      <c r="H16">
        <v>2</v>
      </c>
      <c r="I16" t="s">
        <v>15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8997-D8AC-477C-A1BD-618EA0C92793}">
  <dimension ref="A1:C26"/>
  <sheetViews>
    <sheetView topLeftCell="A4" workbookViewId="0">
      <selection activeCell="C23" sqref="C23"/>
    </sheetView>
  </sheetViews>
  <sheetFormatPr baseColWidth="10" defaultRowHeight="15" x14ac:dyDescent="0.25"/>
  <sheetData>
    <row r="1" spans="1:3" x14ac:dyDescent="0.25">
      <c r="A1" s="1">
        <v>44520</v>
      </c>
      <c r="B1" s="1" t="str">
        <f>VLOOKUP(WEEKDAY(A1,2),semana,2)</f>
        <v>Sábado</v>
      </c>
      <c r="C1" t="s">
        <v>4</v>
      </c>
    </row>
    <row r="2" spans="1:3" x14ac:dyDescent="0.25">
      <c r="A2" s="1">
        <v>44522</v>
      </c>
      <c r="B2" s="1" t="str">
        <f>VLOOKUP(WEEKDAY(A2,2),semana,2)</f>
        <v>Lunes</v>
      </c>
    </row>
    <row r="3" spans="1:3" x14ac:dyDescent="0.25">
      <c r="A3" s="1">
        <v>44538</v>
      </c>
      <c r="B3" s="1" t="str">
        <f>VLOOKUP(WEEKDAY(A3,2),semana,2)</f>
        <v>Miércoles</v>
      </c>
    </row>
    <row r="4" spans="1:3" x14ac:dyDescent="0.25">
      <c r="A4" s="1">
        <v>44554</v>
      </c>
      <c r="B4" s="1" t="str">
        <f>VLOOKUP(WEEKDAY(A4,2),semana,2)</f>
        <v>Viernes</v>
      </c>
      <c r="C4" t="s">
        <v>21</v>
      </c>
    </row>
    <row r="5" spans="1:3" x14ac:dyDescent="0.25">
      <c r="A5" s="1">
        <v>44555</v>
      </c>
      <c r="B5" s="1" t="str">
        <f>VLOOKUP(WEEKDAY(A5,2),semana,2)</f>
        <v>Sábado</v>
      </c>
      <c r="C5" t="s">
        <v>21</v>
      </c>
    </row>
    <row r="6" spans="1:3" x14ac:dyDescent="0.25">
      <c r="A6" s="1">
        <v>44561</v>
      </c>
      <c r="B6" s="1" t="str">
        <f>VLOOKUP(WEEKDAY(A6,2),semana,2)</f>
        <v>Viernes</v>
      </c>
      <c r="C6" t="s">
        <v>22</v>
      </c>
    </row>
    <row r="7" spans="1:3" x14ac:dyDescent="0.25">
      <c r="A7" s="1">
        <v>44562</v>
      </c>
      <c r="B7" s="1" t="str">
        <f>VLOOKUP(WEEKDAY(A7,2),semana,2)</f>
        <v>Sábado</v>
      </c>
      <c r="C7" t="s">
        <v>23</v>
      </c>
    </row>
    <row r="8" spans="1:3" x14ac:dyDescent="0.25">
      <c r="A8" s="1">
        <v>44674</v>
      </c>
      <c r="B8" s="1" t="str">
        <f>VLOOKUP(WEEKDAY(A8,2),semana,2)</f>
        <v>Sábado</v>
      </c>
      <c r="C8" t="s">
        <v>7</v>
      </c>
    </row>
    <row r="9" spans="1:3" x14ac:dyDescent="0.25">
      <c r="A9" s="1">
        <v>44644</v>
      </c>
      <c r="B9" s="1" t="str">
        <f>VLOOKUP(WEEKDAY(A9,2),semana,2)</f>
        <v>Jueves</v>
      </c>
    </row>
    <row r="10" spans="1:3" x14ac:dyDescent="0.25">
      <c r="A10" s="1">
        <v>44653</v>
      </c>
      <c r="B10" s="1" t="str">
        <f>VLOOKUP(WEEKDAY(A10,2),semana,2)</f>
        <v>Sábado</v>
      </c>
    </row>
    <row r="11" spans="1:3" x14ac:dyDescent="0.25">
      <c r="A11" s="1">
        <v>44663</v>
      </c>
      <c r="B11" s="1" t="str">
        <f>VLOOKUP(WEEKDAY(A11,2),semana,2)</f>
        <v>Martes</v>
      </c>
    </row>
    <row r="12" spans="1:3" x14ac:dyDescent="0.25">
      <c r="A12" s="1">
        <v>44664</v>
      </c>
      <c r="B12" s="1" t="str">
        <f>VLOOKUP(WEEKDAY(A12,2),semana,2)</f>
        <v>Miércoles</v>
      </c>
    </row>
    <row r="13" spans="1:3" x14ac:dyDescent="0.25">
      <c r="A13" s="1">
        <v>44682</v>
      </c>
      <c r="B13" s="1" t="str">
        <f>VLOOKUP(WEEKDAY(A13,2),semana,2)</f>
        <v>Domingo</v>
      </c>
    </row>
    <row r="14" spans="1:3" x14ac:dyDescent="0.25">
      <c r="A14" s="1">
        <v>44706</v>
      </c>
      <c r="B14" s="1" t="str">
        <f>VLOOKUP(WEEKDAY(A14,2),semana,2)</f>
        <v>Miércoles</v>
      </c>
    </row>
    <row r="15" spans="1:3" x14ac:dyDescent="0.25">
      <c r="A15" s="1">
        <v>44715</v>
      </c>
      <c r="B15" s="1" t="str">
        <f>VLOOKUP(WEEKDAY(A15,2),semana,2)</f>
        <v>Viernes</v>
      </c>
      <c r="C15" t="s">
        <v>5</v>
      </c>
    </row>
    <row r="16" spans="1:3" x14ac:dyDescent="0.25">
      <c r="A16" s="1">
        <v>44732</v>
      </c>
      <c r="B16" s="1" t="str">
        <f>VLOOKUP(WEEKDAY(A16,2),semana,2)</f>
        <v>Lunes</v>
      </c>
    </row>
    <row r="17" spans="1:3" x14ac:dyDescent="0.25">
      <c r="A17" s="1">
        <v>44751</v>
      </c>
      <c r="B17" s="1" t="str">
        <f>VLOOKUP(WEEKDAY(A17,2),semana,2)</f>
        <v>Sábado</v>
      </c>
    </row>
    <row r="18" spans="1:3" x14ac:dyDescent="0.25">
      <c r="A18" s="1">
        <v>44790</v>
      </c>
      <c r="B18" s="1" t="str">
        <f>VLOOKUP(WEEKDAY(A18,2),semana,2)</f>
        <v>Miércoles</v>
      </c>
    </row>
    <row r="19" spans="1:3" x14ac:dyDescent="0.25">
      <c r="A19" s="1">
        <v>44846</v>
      </c>
      <c r="B19" s="1" t="str">
        <f>VLOOKUP(WEEKDAY(A19,2),semana,2)</f>
        <v>Miércoles</v>
      </c>
    </row>
    <row r="20" spans="1:3" x14ac:dyDescent="0.25">
      <c r="A20" s="1">
        <v>44566</v>
      </c>
      <c r="B20" s="1" t="str">
        <f>VLOOKUP(WEEKDAY(A20,2),semana,2)</f>
        <v>Miércoles</v>
      </c>
    </row>
    <row r="21" spans="1:3" x14ac:dyDescent="0.25">
      <c r="A21" s="1">
        <v>44567</v>
      </c>
      <c r="B21" s="1" t="str">
        <f>VLOOKUP(WEEKDAY(A21,2),semana,2)</f>
        <v>Jueves</v>
      </c>
      <c r="C21" t="s">
        <v>24</v>
      </c>
    </row>
    <row r="22" spans="1:3" x14ac:dyDescent="0.25">
      <c r="A22" s="1">
        <v>44568</v>
      </c>
      <c r="B22" s="1" t="str">
        <f>VLOOKUP(WEEKDAY(A22,2),semana,2)</f>
        <v>Viernes</v>
      </c>
      <c r="C22" t="s">
        <v>25</v>
      </c>
    </row>
    <row r="23" spans="1:3" x14ac:dyDescent="0.25">
      <c r="B23" s="1"/>
    </row>
    <row r="24" spans="1:3" x14ac:dyDescent="0.25">
      <c r="B24" s="1"/>
    </row>
    <row r="25" spans="1:3" x14ac:dyDescent="0.25">
      <c r="B25" s="1"/>
    </row>
    <row r="26" spans="1:3" x14ac:dyDescent="0.25">
      <c r="B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675D-AA58-42B5-9745-AEF004CDDDA8}">
  <dimension ref="A1:I6"/>
  <sheetViews>
    <sheetView workbookViewId="0">
      <selection activeCell="D7" sqref="D7"/>
    </sheetView>
  </sheetViews>
  <sheetFormatPr baseColWidth="10" defaultRowHeight="15" x14ac:dyDescent="0.25"/>
  <cols>
    <col min="1" max="1" width="11.140625" customWidth="1"/>
    <col min="2" max="2" width="11" customWidth="1"/>
    <col min="3" max="3" width="9.7109375" customWidth="1"/>
    <col min="4" max="4" width="11.85546875" customWidth="1"/>
    <col min="6" max="6" width="13" bestFit="1" customWidth="1"/>
    <col min="8" max="8" width="14.28515625" bestFit="1" customWidth="1"/>
    <col min="9" max="9" width="23.140625" customWidth="1"/>
  </cols>
  <sheetData>
    <row r="1" spans="1:9" ht="19.5" thickBot="1" x14ac:dyDescent="0.35">
      <c r="D1" s="1">
        <f ca="1">TODAY()</f>
        <v>44506</v>
      </c>
      <c r="H1" s="6" t="s">
        <v>35</v>
      </c>
      <c r="I1" s="7">
        <f>SUM(subtotal)</f>
        <v>1269000</v>
      </c>
    </row>
    <row r="2" spans="1:9" s="3" customFormat="1" ht="29.25" customHeigh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</row>
    <row r="3" spans="1:9" x14ac:dyDescent="0.25">
      <c r="A3" t="s">
        <v>32</v>
      </c>
      <c r="B3">
        <v>2500</v>
      </c>
      <c r="C3" s="4">
        <v>150</v>
      </c>
      <c r="D3" s="1">
        <v>42068</v>
      </c>
      <c r="E3">
        <f ca="1">INT(DAYS360(D3,$D$1)/360)</f>
        <v>6</v>
      </c>
      <c r="F3" s="5">
        <f>B3*C3</f>
        <v>375000</v>
      </c>
    </row>
    <row r="4" spans="1:9" x14ac:dyDescent="0.25">
      <c r="A4" t="s">
        <v>33</v>
      </c>
      <c r="B4">
        <v>1800</v>
      </c>
      <c r="C4" s="4">
        <v>120</v>
      </c>
      <c r="D4" s="1">
        <v>42428</v>
      </c>
      <c r="E4">
        <f t="shared" ref="E4:E6" ca="1" si="0">INT(DAYS360(D4,$D$1)/360)</f>
        <v>5</v>
      </c>
      <c r="F4" s="5">
        <f t="shared" ref="F4:F5" si="1">B4*C4</f>
        <v>216000</v>
      </c>
    </row>
    <row r="5" spans="1:9" x14ac:dyDescent="0.25">
      <c r="A5" t="s">
        <v>34</v>
      </c>
      <c r="B5">
        <v>2100</v>
      </c>
      <c r="C5" s="4">
        <v>180</v>
      </c>
      <c r="D5" s="1">
        <v>42810</v>
      </c>
      <c r="E5">
        <f t="shared" ca="1" si="0"/>
        <v>4</v>
      </c>
      <c r="F5" s="5">
        <f t="shared" si="1"/>
        <v>378000</v>
      </c>
    </row>
    <row r="6" spans="1:9" x14ac:dyDescent="0.25">
      <c r="A6" t="s">
        <v>36</v>
      </c>
      <c r="B6">
        <v>1200</v>
      </c>
      <c r="C6" s="4">
        <v>250</v>
      </c>
      <c r="D6" s="1">
        <v>43169</v>
      </c>
      <c r="E6">
        <f t="shared" ca="1" si="0"/>
        <v>3</v>
      </c>
      <c r="F6" s="5">
        <f t="shared" ref="F6" si="2">B6*C6</f>
        <v>300000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5B28-E768-49AA-A96A-21657938E568}">
  <dimension ref="A1:Z14"/>
  <sheetViews>
    <sheetView tabSelected="1" workbookViewId="0">
      <selection activeCell="Z5" sqref="Z5"/>
    </sheetView>
  </sheetViews>
  <sheetFormatPr baseColWidth="10" defaultRowHeight="15" x14ac:dyDescent="0.25"/>
  <cols>
    <col min="1" max="1" width="6.7109375" bestFit="1" customWidth="1"/>
    <col min="2" max="2" width="9.28515625" hidden="1" customWidth="1"/>
    <col min="3" max="3" width="8.140625" hidden="1" customWidth="1"/>
    <col min="4" max="5" width="6.7109375" hidden="1" customWidth="1"/>
    <col min="6" max="6" width="13" bestFit="1" customWidth="1"/>
    <col min="7" max="7" width="10.28515625" customWidth="1"/>
    <col min="10" max="10" width="12" bestFit="1" customWidth="1"/>
    <col min="12" max="12" width="11.28515625" bestFit="1" customWidth="1"/>
    <col min="13" max="13" width="12" bestFit="1" customWidth="1"/>
    <col min="14" max="14" width="11.85546875" customWidth="1"/>
    <col min="16" max="16" width="11" bestFit="1" customWidth="1"/>
    <col min="17" max="17" width="13.7109375" customWidth="1"/>
    <col min="18" max="18" width="14.42578125" customWidth="1"/>
    <col min="19" max="19" width="11" bestFit="1" customWidth="1"/>
    <col min="20" max="21" width="14.140625" customWidth="1"/>
    <col min="22" max="23" width="12" bestFit="1" customWidth="1"/>
    <col min="24" max="24" width="11" bestFit="1" customWidth="1"/>
    <col min="25" max="25" width="12.140625" customWidth="1"/>
    <col min="26" max="26" width="13" bestFit="1" customWidth="1"/>
  </cols>
  <sheetData>
    <row r="1" spans="1:26" x14ac:dyDescent="0.25">
      <c r="H1" s="8">
        <v>0.5</v>
      </c>
      <c r="I1" s="8">
        <v>1</v>
      </c>
      <c r="K1" s="1">
        <v>44501</v>
      </c>
      <c r="M1" s="8">
        <v>0.01</v>
      </c>
      <c r="N1" s="4">
        <v>5000</v>
      </c>
      <c r="O1" s="4">
        <v>800</v>
      </c>
      <c r="P1" s="4">
        <v>1300</v>
      </c>
      <c r="V1" s="8">
        <v>0.11</v>
      </c>
      <c r="W1" s="8">
        <v>7.0000000000000007E-2</v>
      </c>
      <c r="X1" s="8">
        <v>0.03</v>
      </c>
    </row>
    <row r="2" spans="1:26" s="3" customFormat="1" ht="39.75" customHeight="1" x14ac:dyDescent="0.25">
      <c r="A2" s="3" t="s">
        <v>37</v>
      </c>
      <c r="B2" s="3" t="s">
        <v>46</v>
      </c>
      <c r="C2" s="3" t="s">
        <v>45</v>
      </c>
      <c r="D2" s="3" t="s">
        <v>47</v>
      </c>
      <c r="E2" s="3" t="s">
        <v>48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30</v>
      </c>
      <c r="M2" s="3" t="s">
        <v>44</v>
      </c>
      <c r="N2" s="3" t="s">
        <v>50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59</v>
      </c>
      <c r="U2" s="3" t="s">
        <v>58</v>
      </c>
      <c r="V2" s="3" t="s">
        <v>60</v>
      </c>
      <c r="W2" s="3" t="s">
        <v>61</v>
      </c>
      <c r="X2" s="3" t="s">
        <v>62</v>
      </c>
      <c r="Y2" s="3" t="s">
        <v>63</v>
      </c>
      <c r="Z2" s="3" t="s">
        <v>64</v>
      </c>
    </row>
    <row r="3" spans="1:26" x14ac:dyDescent="0.25">
      <c r="A3">
        <v>1001</v>
      </c>
      <c r="B3" t="s">
        <v>49</v>
      </c>
      <c r="C3" t="s">
        <v>49</v>
      </c>
      <c r="D3" t="s">
        <v>49</v>
      </c>
      <c r="E3" t="s">
        <v>49</v>
      </c>
      <c r="F3" s="4">
        <v>80000</v>
      </c>
      <c r="G3" s="5">
        <f>F3/200</f>
        <v>400</v>
      </c>
      <c r="H3">
        <v>8</v>
      </c>
      <c r="I3">
        <v>2</v>
      </c>
      <c r="J3" s="5">
        <f>G3*(H3*1.5+I3*2)</f>
        <v>6400</v>
      </c>
      <c r="K3" s="1">
        <v>37276</v>
      </c>
      <c r="L3">
        <f>INT(DAYS360(K3,$K$1)/360)</f>
        <v>19</v>
      </c>
      <c r="M3" s="5">
        <f>F3*L3*$M$1</f>
        <v>15200</v>
      </c>
      <c r="N3" t="s">
        <v>51</v>
      </c>
      <c r="O3" t="s">
        <v>51</v>
      </c>
      <c r="P3">
        <v>3</v>
      </c>
      <c r="Q3" s="4">
        <v>8000</v>
      </c>
      <c r="R3" s="4">
        <v>5000</v>
      </c>
      <c r="S3" s="4">
        <v>3000</v>
      </c>
      <c r="T3" s="5">
        <f>F3+J3+M3+Q3+IF(N3="SI",$N$1,0)</f>
        <v>114600</v>
      </c>
      <c r="U3" s="5">
        <f>R3+S3+P3*$P$1+IF(O3="si",$O$1+0)</f>
        <v>12700</v>
      </c>
      <c r="V3" s="5">
        <f>$T3*V$1</f>
        <v>12606</v>
      </c>
      <c r="W3" s="5">
        <f t="shared" ref="W3:X3" si="0">$T3*W$1</f>
        <v>8022.0000000000009</v>
      </c>
      <c r="X3" s="5">
        <f t="shared" si="0"/>
        <v>3438</v>
      </c>
      <c r="Y3" s="5">
        <f>SUM(V3:X3)</f>
        <v>24066</v>
      </c>
      <c r="Z3" s="5">
        <f>T3+U3-Y3</f>
        <v>103234</v>
      </c>
    </row>
    <row r="4" spans="1:26" x14ac:dyDescent="0.25">
      <c r="A4">
        <v>1002</v>
      </c>
      <c r="B4" t="s">
        <v>49</v>
      </c>
      <c r="C4" t="s">
        <v>49</v>
      </c>
      <c r="D4" t="s">
        <v>49</v>
      </c>
      <c r="E4" t="s">
        <v>49</v>
      </c>
      <c r="F4" s="4">
        <v>120000</v>
      </c>
      <c r="G4" s="5">
        <f t="shared" ref="G4:G7" si="1">F4/200</f>
        <v>600</v>
      </c>
      <c r="H4">
        <v>10</v>
      </c>
      <c r="I4">
        <v>8</v>
      </c>
      <c r="J4" s="5">
        <f t="shared" ref="J4:J7" si="2">G4*(H4*1.5+I4*2)</f>
        <v>18600</v>
      </c>
      <c r="K4" s="1">
        <v>39207</v>
      </c>
      <c r="L4">
        <f t="shared" ref="L4:L7" si="3">INT(DAYS360(K4,$K$1)/360)</f>
        <v>14</v>
      </c>
      <c r="M4" s="5">
        <f t="shared" ref="M4:M7" si="4">F4*L4*$M$1</f>
        <v>16800</v>
      </c>
      <c r="N4" t="s">
        <v>52</v>
      </c>
      <c r="O4" t="s">
        <v>51</v>
      </c>
      <c r="P4">
        <v>1</v>
      </c>
      <c r="Q4" s="4">
        <v>8000</v>
      </c>
      <c r="R4" s="4">
        <v>5000</v>
      </c>
      <c r="S4" s="4">
        <v>3000</v>
      </c>
      <c r="T4" s="5">
        <f t="shared" ref="T4:T7" si="5">F4+J4+M4+Q4+IF(N4="SI",$N$1,0)</f>
        <v>163400</v>
      </c>
      <c r="U4" s="5">
        <f t="shared" ref="U4:U7" si="6">R4+S4+P4*$P$1+IF(O4="si",$O$1+0)</f>
        <v>10100</v>
      </c>
      <c r="V4" s="5">
        <f t="shared" ref="V4:X7" si="7">$T4*V$1</f>
        <v>17974</v>
      </c>
      <c r="W4" s="5">
        <f t="shared" si="7"/>
        <v>11438.000000000002</v>
      </c>
      <c r="X4" s="5">
        <f t="shared" si="7"/>
        <v>4902</v>
      </c>
      <c r="Y4" s="5">
        <f t="shared" ref="Y4:Y7" si="8">SUM(V4:X4)</f>
        <v>34314</v>
      </c>
      <c r="Z4" s="5">
        <f t="shared" ref="Z4:Z7" si="9">T4+U4-Y4</f>
        <v>139186</v>
      </c>
    </row>
    <row r="5" spans="1:26" x14ac:dyDescent="0.25">
      <c r="A5">
        <v>1003</v>
      </c>
      <c r="B5" t="s">
        <v>49</v>
      </c>
      <c r="C5" t="s">
        <v>49</v>
      </c>
      <c r="D5" t="s">
        <v>49</v>
      </c>
      <c r="E5" t="s">
        <v>49</v>
      </c>
      <c r="F5" s="4">
        <v>98000</v>
      </c>
      <c r="G5" s="5">
        <f t="shared" si="1"/>
        <v>490</v>
      </c>
      <c r="H5">
        <v>0</v>
      </c>
      <c r="I5">
        <v>2</v>
      </c>
      <c r="J5" s="5">
        <f t="shared" si="2"/>
        <v>1960</v>
      </c>
      <c r="K5" s="1">
        <v>40704</v>
      </c>
      <c r="L5">
        <f t="shared" si="3"/>
        <v>10</v>
      </c>
      <c r="M5" s="5">
        <f t="shared" si="4"/>
        <v>9800</v>
      </c>
      <c r="N5" t="s">
        <v>51</v>
      </c>
      <c r="O5" t="s">
        <v>52</v>
      </c>
      <c r="P5">
        <v>0</v>
      </c>
      <c r="Q5" s="4">
        <v>8000</v>
      </c>
      <c r="R5" s="4">
        <v>5000</v>
      </c>
      <c r="S5" s="4">
        <v>3000</v>
      </c>
      <c r="T5" s="5">
        <f t="shared" si="5"/>
        <v>122760</v>
      </c>
      <c r="U5" s="5">
        <f t="shared" si="6"/>
        <v>8000</v>
      </c>
      <c r="V5" s="5">
        <f t="shared" si="7"/>
        <v>13503.6</v>
      </c>
      <c r="W5" s="5">
        <f t="shared" si="7"/>
        <v>8593.2000000000007</v>
      </c>
      <c r="X5" s="5">
        <f t="shared" si="7"/>
        <v>3682.7999999999997</v>
      </c>
      <c r="Y5" s="5">
        <f t="shared" si="8"/>
        <v>25779.600000000002</v>
      </c>
      <c r="Z5" s="5">
        <f t="shared" si="9"/>
        <v>104980.4</v>
      </c>
    </row>
    <row r="6" spans="1:26" x14ac:dyDescent="0.25">
      <c r="A6">
        <v>1004</v>
      </c>
      <c r="B6" t="s">
        <v>49</v>
      </c>
      <c r="C6" t="s">
        <v>49</v>
      </c>
      <c r="D6" t="s">
        <v>49</v>
      </c>
      <c r="E6" t="s">
        <v>49</v>
      </c>
      <c r="F6" s="4">
        <v>78000</v>
      </c>
      <c r="G6" s="5">
        <f t="shared" si="1"/>
        <v>390</v>
      </c>
      <c r="H6">
        <v>10</v>
      </c>
      <c r="I6">
        <v>0</v>
      </c>
      <c r="J6" s="5">
        <f t="shared" si="2"/>
        <v>5850</v>
      </c>
      <c r="K6" s="1">
        <v>42648</v>
      </c>
      <c r="L6">
        <f t="shared" si="3"/>
        <v>5</v>
      </c>
      <c r="M6" s="5">
        <f t="shared" si="4"/>
        <v>3900</v>
      </c>
      <c r="N6" t="s">
        <v>52</v>
      </c>
      <c r="O6" t="s">
        <v>52</v>
      </c>
      <c r="P6">
        <v>0</v>
      </c>
      <c r="Q6" s="4">
        <v>8000</v>
      </c>
      <c r="R6" s="4">
        <v>5000</v>
      </c>
      <c r="S6" s="4">
        <v>3000</v>
      </c>
      <c r="T6" s="5">
        <f t="shared" si="5"/>
        <v>95750</v>
      </c>
      <c r="U6" s="5">
        <f t="shared" si="6"/>
        <v>8000</v>
      </c>
      <c r="V6" s="5">
        <f t="shared" si="7"/>
        <v>10532.5</v>
      </c>
      <c r="W6" s="5">
        <f t="shared" si="7"/>
        <v>6702.5000000000009</v>
      </c>
      <c r="X6" s="5">
        <f t="shared" si="7"/>
        <v>2872.5</v>
      </c>
      <c r="Y6" s="5">
        <f t="shared" si="8"/>
        <v>20107.5</v>
      </c>
      <c r="Z6" s="5">
        <f t="shared" si="9"/>
        <v>83642.5</v>
      </c>
    </row>
    <row r="7" spans="1:26" x14ac:dyDescent="0.25">
      <c r="A7">
        <v>1005</v>
      </c>
      <c r="B7" t="s">
        <v>49</v>
      </c>
      <c r="C7" t="s">
        <v>49</v>
      </c>
      <c r="D7" t="s">
        <v>49</v>
      </c>
      <c r="E7" t="s">
        <v>49</v>
      </c>
      <c r="F7" s="4">
        <v>68000</v>
      </c>
      <c r="G7" s="5">
        <f t="shared" si="1"/>
        <v>340</v>
      </c>
      <c r="H7">
        <v>0</v>
      </c>
      <c r="I7">
        <v>0</v>
      </c>
      <c r="J7" s="5">
        <f t="shared" si="2"/>
        <v>0</v>
      </c>
      <c r="K7" s="1">
        <v>43318</v>
      </c>
      <c r="L7">
        <f t="shared" si="3"/>
        <v>3</v>
      </c>
      <c r="M7" s="5">
        <f t="shared" si="4"/>
        <v>2040</v>
      </c>
      <c r="N7" t="s">
        <v>51</v>
      </c>
      <c r="O7" t="s">
        <v>52</v>
      </c>
      <c r="P7">
        <v>1</v>
      </c>
      <c r="Q7" s="4">
        <v>8000</v>
      </c>
      <c r="R7" s="4">
        <v>5000</v>
      </c>
      <c r="S7" s="4">
        <v>3000</v>
      </c>
      <c r="T7" s="5">
        <f t="shared" si="5"/>
        <v>83040</v>
      </c>
      <c r="U7" s="5">
        <f t="shared" si="6"/>
        <v>9300</v>
      </c>
      <c r="V7" s="5">
        <f t="shared" si="7"/>
        <v>9134.4</v>
      </c>
      <c r="W7" s="5">
        <f t="shared" si="7"/>
        <v>5812.8</v>
      </c>
      <c r="X7" s="5">
        <f t="shared" si="7"/>
        <v>2491.1999999999998</v>
      </c>
      <c r="Y7" s="5">
        <f t="shared" si="8"/>
        <v>17438.400000000001</v>
      </c>
      <c r="Z7" s="5">
        <f t="shared" si="9"/>
        <v>74901.600000000006</v>
      </c>
    </row>
    <row r="8" spans="1:26" x14ac:dyDescent="0.25">
      <c r="S8" s="4"/>
    </row>
    <row r="11" spans="1:26" x14ac:dyDescent="0.25">
      <c r="J11" s="5">
        <f>G3*H3*1.5+G3*I3*2</f>
        <v>6400</v>
      </c>
      <c r="V11" s="5">
        <f>T3*$V$1</f>
        <v>12606</v>
      </c>
      <c r="W11" s="5">
        <f>T3*$W$1</f>
        <v>8022.0000000000009</v>
      </c>
      <c r="X11" s="5">
        <f>T3*$X$1</f>
        <v>3438</v>
      </c>
    </row>
    <row r="12" spans="1:26" x14ac:dyDescent="0.25">
      <c r="J12" s="5">
        <f>G3*(H3*1.5+I3*2)</f>
        <v>6400</v>
      </c>
    </row>
    <row r="13" spans="1:26" x14ac:dyDescent="0.25">
      <c r="J13" s="5">
        <f>G3*H3+G3*H3*H1+G3*I3+G3*I3*I1</f>
        <v>6400</v>
      </c>
    </row>
    <row r="14" spans="1:26" x14ac:dyDescent="0.25">
      <c r="J14" s="5">
        <f>G3*(H3+H3*H1+I3+I3*I1)</f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Hoja1</vt:lpstr>
      <vt:lpstr>Hoja2</vt:lpstr>
      <vt:lpstr>Hoja4</vt:lpstr>
      <vt:lpstr>feriados</vt:lpstr>
      <vt:lpstr>Hoja5</vt:lpstr>
      <vt:lpstr>Liquidación Octubre 2021</vt:lpstr>
      <vt:lpstr>feriados</vt:lpstr>
      <vt:lpstr>semana</vt:lpstr>
      <vt:lpstr>semana2</vt:lpstr>
      <vt:lpstr>subtotal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2021-11-06T13:07:28Z</dcterms:created>
  <dcterms:modified xsi:type="dcterms:W3CDTF">2021-11-06T15:51:13Z</dcterms:modified>
</cp:coreProperties>
</file>