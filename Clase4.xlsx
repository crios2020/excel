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Fundamentos\"/>
    </mc:Choice>
  </mc:AlternateContent>
  <xr:revisionPtr revIDLastSave="0" documentId="13_ncr:1_{6E35694D-951C-4838-B9DE-87C74B653495}" xr6:coauthVersionLast="45" xr6:coauthVersionMax="45" xr10:uidLastSave="{00000000-0000-0000-0000-000000000000}"/>
  <bookViews>
    <workbookView xWindow="-120" yWindow="-120" windowWidth="15600" windowHeight="11160" activeTab="2" xr2:uid="{4E781954-FEF5-49BE-819A-5E201BBFBE78}"/>
  </bookViews>
  <sheets>
    <sheet name="Hoja1" sheetId="1" r:id="rId1"/>
    <sheet name="Hoja6" sheetId="6" r:id="rId2"/>
    <sheet name="Hoja8" sheetId="8" r:id="rId3"/>
    <sheet name="Hoja5" sheetId="5" r:id="rId4"/>
    <sheet name="Hoja4" sheetId="4" r:id="rId5"/>
    <sheet name="Hoja3" sheetId="3" r:id="rId6"/>
    <sheet name="Hoja2" sheetId="2" r:id="rId7"/>
  </sheets>
  <definedNames>
    <definedName name="agrandado">Hoja5!$C:$C</definedName>
    <definedName name="clave">Hoja6!$E:$E</definedName>
    <definedName name="clave2">Hoja6!$C:$C</definedName>
    <definedName name="clave3">Hoja6!$F:$F</definedName>
    <definedName name="combo">Hoja5!$A:$A</definedName>
    <definedName name="importe">Hoja1!$C:$C</definedName>
    <definedName name="importe2">Hoja4!$D:$D</definedName>
    <definedName name="importe3">Hoja6!$G:$G</definedName>
    <definedName name="mes">Hoja1!$B:$B</definedName>
    <definedName name="meses">Hoja4!$C:$C</definedName>
    <definedName name="motivo">Hoja1!$A:$A</definedName>
    <definedName name="motivo2">Hoja4!$A:$A</definedName>
    <definedName name="total">Hoja5!$D:$D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8" l="1"/>
  <c r="A6" i="8"/>
  <c r="A7" i="8"/>
  <c r="A8" i="8"/>
  <c r="A4" i="8"/>
  <c r="D4" i="8"/>
  <c r="E7" i="8"/>
  <c r="E4" i="8"/>
  <c r="E8" i="8"/>
  <c r="E6" i="8"/>
  <c r="E5" i="8"/>
  <c r="E9" i="8"/>
  <c r="I29" i="6"/>
  <c r="M29" i="6" s="1"/>
  <c r="I30" i="6"/>
  <c r="M30" i="6" s="1"/>
  <c r="I31" i="6"/>
  <c r="M31" i="6" s="1"/>
  <c r="I32" i="6"/>
  <c r="M32" i="6" s="1"/>
  <c r="I33" i="6"/>
  <c r="M33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L30" i="6"/>
  <c r="L31" i="6"/>
  <c r="L32" i="6"/>
  <c r="L33" i="6"/>
  <c r="E254" i="6"/>
  <c r="C254" i="6"/>
  <c r="E253" i="6"/>
  <c r="C253" i="6"/>
  <c r="E252" i="6"/>
  <c r="C252" i="6"/>
  <c r="E251" i="6"/>
  <c r="C251" i="6"/>
  <c r="E250" i="6"/>
  <c r="C250" i="6"/>
  <c r="E249" i="6"/>
  <c r="C249" i="6"/>
  <c r="E248" i="6"/>
  <c r="C248" i="6"/>
  <c r="E247" i="6"/>
  <c r="C247" i="6"/>
  <c r="E246" i="6"/>
  <c r="C246" i="6"/>
  <c r="E245" i="6"/>
  <c r="C245" i="6"/>
  <c r="E244" i="6"/>
  <c r="C244" i="6"/>
  <c r="E243" i="6"/>
  <c r="C243" i="6"/>
  <c r="E242" i="6"/>
  <c r="C242" i="6"/>
  <c r="E241" i="6"/>
  <c r="C241" i="6"/>
  <c r="E240" i="6"/>
  <c r="C240" i="6"/>
  <c r="E239" i="6"/>
  <c r="C239" i="6"/>
  <c r="E238" i="6"/>
  <c r="C238" i="6"/>
  <c r="E237" i="6"/>
  <c r="C237" i="6"/>
  <c r="E236" i="6"/>
  <c r="C236" i="6"/>
  <c r="E235" i="6"/>
  <c r="C235" i="6"/>
  <c r="E234" i="6"/>
  <c r="C234" i="6"/>
  <c r="E233" i="6"/>
  <c r="C233" i="6"/>
  <c r="E232" i="6"/>
  <c r="C232" i="6"/>
  <c r="E231" i="6"/>
  <c r="C231" i="6"/>
  <c r="E230" i="6"/>
  <c r="C230" i="6"/>
  <c r="E229" i="6"/>
  <c r="C229" i="6"/>
  <c r="E228" i="6"/>
  <c r="C228" i="6"/>
  <c r="E227" i="6"/>
  <c r="C227" i="6"/>
  <c r="E226" i="6"/>
  <c r="C226" i="6"/>
  <c r="E225" i="6"/>
  <c r="C225" i="6"/>
  <c r="E224" i="6"/>
  <c r="C224" i="6"/>
  <c r="E223" i="6"/>
  <c r="C223" i="6"/>
  <c r="E222" i="6"/>
  <c r="C222" i="6"/>
  <c r="E221" i="6"/>
  <c r="C221" i="6"/>
  <c r="E220" i="6"/>
  <c r="C220" i="6"/>
  <c r="E219" i="6"/>
  <c r="C219" i="6"/>
  <c r="E218" i="6"/>
  <c r="C218" i="6"/>
  <c r="E217" i="6"/>
  <c r="C217" i="6"/>
  <c r="E216" i="6"/>
  <c r="C216" i="6"/>
  <c r="E215" i="6"/>
  <c r="C215" i="6"/>
  <c r="E214" i="6"/>
  <c r="C214" i="6"/>
  <c r="E213" i="6"/>
  <c r="C213" i="6"/>
  <c r="E212" i="6"/>
  <c r="C212" i="6"/>
  <c r="E211" i="6"/>
  <c r="C211" i="6"/>
  <c r="E210" i="6"/>
  <c r="C210" i="6"/>
  <c r="E209" i="6"/>
  <c r="C209" i="6"/>
  <c r="E208" i="6"/>
  <c r="C208" i="6"/>
  <c r="E207" i="6"/>
  <c r="C207" i="6"/>
  <c r="E206" i="6"/>
  <c r="C206" i="6"/>
  <c r="E205" i="6"/>
  <c r="C205" i="6"/>
  <c r="E204" i="6"/>
  <c r="C204" i="6"/>
  <c r="E203" i="6"/>
  <c r="C203" i="6"/>
  <c r="E202" i="6"/>
  <c r="C202" i="6"/>
  <c r="E201" i="6"/>
  <c r="C201" i="6"/>
  <c r="E200" i="6"/>
  <c r="C200" i="6"/>
  <c r="E199" i="6"/>
  <c r="C199" i="6"/>
  <c r="E198" i="6"/>
  <c r="C198" i="6"/>
  <c r="E197" i="6"/>
  <c r="C197" i="6"/>
  <c r="E196" i="6"/>
  <c r="C196" i="6"/>
  <c r="E195" i="6"/>
  <c r="C195" i="6"/>
  <c r="E194" i="6"/>
  <c r="C194" i="6"/>
  <c r="E193" i="6"/>
  <c r="C193" i="6"/>
  <c r="E192" i="6"/>
  <c r="C192" i="6"/>
  <c r="E191" i="6"/>
  <c r="C191" i="6"/>
  <c r="E190" i="6"/>
  <c r="C190" i="6"/>
  <c r="E189" i="6"/>
  <c r="C189" i="6"/>
  <c r="E188" i="6"/>
  <c r="C188" i="6"/>
  <c r="E187" i="6"/>
  <c r="C187" i="6"/>
  <c r="E186" i="6"/>
  <c r="C186" i="6"/>
  <c r="E185" i="6"/>
  <c r="C185" i="6"/>
  <c r="E184" i="6"/>
  <c r="C184" i="6"/>
  <c r="E183" i="6"/>
  <c r="C183" i="6"/>
  <c r="E182" i="6"/>
  <c r="C182" i="6"/>
  <c r="E181" i="6"/>
  <c r="C181" i="6"/>
  <c r="E180" i="6"/>
  <c r="C180" i="6"/>
  <c r="E179" i="6"/>
  <c r="C179" i="6"/>
  <c r="E178" i="6"/>
  <c r="C178" i="6"/>
  <c r="E177" i="6"/>
  <c r="C177" i="6"/>
  <c r="E176" i="6"/>
  <c r="C176" i="6"/>
  <c r="E175" i="6"/>
  <c r="C175" i="6"/>
  <c r="E174" i="6"/>
  <c r="C174" i="6"/>
  <c r="E173" i="6"/>
  <c r="C173" i="6"/>
  <c r="E172" i="6"/>
  <c r="C172" i="6"/>
  <c r="E171" i="6"/>
  <c r="C171" i="6"/>
  <c r="E170" i="6"/>
  <c r="C170" i="6"/>
  <c r="E169" i="6"/>
  <c r="C169" i="6"/>
  <c r="E168" i="6"/>
  <c r="C168" i="6"/>
  <c r="E167" i="6"/>
  <c r="C167" i="6"/>
  <c r="E166" i="6"/>
  <c r="C166" i="6"/>
  <c r="E165" i="6"/>
  <c r="C165" i="6"/>
  <c r="E164" i="6"/>
  <c r="C164" i="6"/>
  <c r="E163" i="6"/>
  <c r="C163" i="6"/>
  <c r="E162" i="6"/>
  <c r="C162" i="6"/>
  <c r="E161" i="6"/>
  <c r="C161" i="6"/>
  <c r="E160" i="6"/>
  <c r="C160" i="6"/>
  <c r="E159" i="6"/>
  <c r="C159" i="6"/>
  <c r="E158" i="6"/>
  <c r="C158" i="6"/>
  <c r="E157" i="6"/>
  <c r="C157" i="6"/>
  <c r="E156" i="6"/>
  <c r="C156" i="6"/>
  <c r="E155" i="6"/>
  <c r="C155" i="6"/>
  <c r="E154" i="6"/>
  <c r="C154" i="6"/>
  <c r="E153" i="6"/>
  <c r="C153" i="6"/>
  <c r="E152" i="6"/>
  <c r="C152" i="6"/>
  <c r="E151" i="6"/>
  <c r="C151" i="6"/>
  <c r="E150" i="6"/>
  <c r="C150" i="6"/>
  <c r="E149" i="6"/>
  <c r="C149" i="6"/>
  <c r="E148" i="6"/>
  <c r="C148" i="6"/>
  <c r="E147" i="6"/>
  <c r="C147" i="6"/>
  <c r="E146" i="6"/>
  <c r="C146" i="6"/>
  <c r="E145" i="6"/>
  <c r="C145" i="6"/>
  <c r="E144" i="6"/>
  <c r="C144" i="6"/>
  <c r="E143" i="6"/>
  <c r="C143" i="6"/>
  <c r="E142" i="6"/>
  <c r="C142" i="6"/>
  <c r="E141" i="6"/>
  <c r="C141" i="6"/>
  <c r="E140" i="6"/>
  <c r="C140" i="6"/>
  <c r="E139" i="6"/>
  <c r="C139" i="6"/>
  <c r="E138" i="6"/>
  <c r="C138" i="6"/>
  <c r="E137" i="6"/>
  <c r="C137" i="6"/>
  <c r="E136" i="6"/>
  <c r="C136" i="6"/>
  <c r="E135" i="6"/>
  <c r="C135" i="6"/>
  <c r="E134" i="6"/>
  <c r="C134" i="6"/>
  <c r="E133" i="6"/>
  <c r="C133" i="6"/>
  <c r="E132" i="6"/>
  <c r="C132" i="6"/>
  <c r="E131" i="6"/>
  <c r="C131" i="6"/>
  <c r="E130" i="6"/>
  <c r="C130" i="6"/>
  <c r="E129" i="6"/>
  <c r="C129" i="6"/>
  <c r="E128" i="6"/>
  <c r="C128" i="6"/>
  <c r="E127" i="6"/>
  <c r="C127" i="6"/>
  <c r="E126" i="6"/>
  <c r="C126" i="6"/>
  <c r="E125" i="6"/>
  <c r="C125" i="6"/>
  <c r="E124" i="6"/>
  <c r="C124" i="6"/>
  <c r="E123" i="6"/>
  <c r="C123" i="6"/>
  <c r="E122" i="6"/>
  <c r="C122" i="6"/>
  <c r="E121" i="6"/>
  <c r="C121" i="6"/>
  <c r="E120" i="6"/>
  <c r="C120" i="6"/>
  <c r="E119" i="6"/>
  <c r="C119" i="6"/>
  <c r="E118" i="6"/>
  <c r="C118" i="6"/>
  <c r="E117" i="6"/>
  <c r="C117" i="6"/>
  <c r="E116" i="6"/>
  <c r="C116" i="6"/>
  <c r="E115" i="6"/>
  <c r="C115" i="6"/>
  <c r="E114" i="6"/>
  <c r="C114" i="6"/>
  <c r="E113" i="6"/>
  <c r="C113" i="6"/>
  <c r="E112" i="6"/>
  <c r="C112" i="6"/>
  <c r="E111" i="6"/>
  <c r="C111" i="6"/>
  <c r="E110" i="6"/>
  <c r="C110" i="6"/>
  <c r="E109" i="6"/>
  <c r="C109" i="6"/>
  <c r="E108" i="6"/>
  <c r="C108" i="6"/>
  <c r="E107" i="6"/>
  <c r="C107" i="6"/>
  <c r="E106" i="6"/>
  <c r="C106" i="6"/>
  <c r="E105" i="6"/>
  <c r="C105" i="6"/>
  <c r="E104" i="6"/>
  <c r="C104" i="6"/>
  <c r="E103" i="6"/>
  <c r="C103" i="6"/>
  <c r="E102" i="6"/>
  <c r="C102" i="6"/>
  <c r="E101" i="6"/>
  <c r="C101" i="6"/>
  <c r="E100" i="6"/>
  <c r="C100" i="6"/>
  <c r="E99" i="6"/>
  <c r="C99" i="6"/>
  <c r="E98" i="6"/>
  <c r="C98" i="6"/>
  <c r="E97" i="6"/>
  <c r="C97" i="6"/>
  <c r="E96" i="6"/>
  <c r="C96" i="6"/>
  <c r="E95" i="6"/>
  <c r="C95" i="6"/>
  <c r="E94" i="6"/>
  <c r="C94" i="6"/>
  <c r="E93" i="6"/>
  <c r="C93" i="6"/>
  <c r="E92" i="6"/>
  <c r="C92" i="6"/>
  <c r="E91" i="6"/>
  <c r="C91" i="6"/>
  <c r="E90" i="6"/>
  <c r="C90" i="6"/>
  <c r="E89" i="6"/>
  <c r="C89" i="6"/>
  <c r="E88" i="6"/>
  <c r="C88" i="6"/>
  <c r="E87" i="6"/>
  <c r="C87" i="6"/>
  <c r="E86" i="6"/>
  <c r="C86" i="6"/>
  <c r="E85" i="6"/>
  <c r="C85" i="6"/>
  <c r="E84" i="6"/>
  <c r="C84" i="6"/>
  <c r="E83" i="6"/>
  <c r="C83" i="6"/>
  <c r="E82" i="6"/>
  <c r="C82" i="6"/>
  <c r="E81" i="6"/>
  <c r="C81" i="6"/>
  <c r="E80" i="6"/>
  <c r="C80" i="6"/>
  <c r="E79" i="6"/>
  <c r="C79" i="6"/>
  <c r="E78" i="6"/>
  <c r="C78" i="6"/>
  <c r="E77" i="6"/>
  <c r="C77" i="6"/>
  <c r="E76" i="6"/>
  <c r="C76" i="6"/>
  <c r="E75" i="6"/>
  <c r="C75" i="6"/>
  <c r="E74" i="6"/>
  <c r="C74" i="6"/>
  <c r="E73" i="6"/>
  <c r="C73" i="6"/>
  <c r="E72" i="6"/>
  <c r="C72" i="6"/>
  <c r="E71" i="6"/>
  <c r="C71" i="6"/>
  <c r="E70" i="6"/>
  <c r="C70" i="6"/>
  <c r="E69" i="6"/>
  <c r="C69" i="6"/>
  <c r="E68" i="6"/>
  <c r="C68" i="6"/>
  <c r="E67" i="6"/>
  <c r="C67" i="6"/>
  <c r="E66" i="6"/>
  <c r="C66" i="6"/>
  <c r="E65" i="6"/>
  <c r="C65" i="6"/>
  <c r="E64" i="6"/>
  <c r="C64" i="6"/>
  <c r="E63" i="6"/>
  <c r="C63" i="6"/>
  <c r="E62" i="6"/>
  <c r="C62" i="6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J18" i="6"/>
  <c r="J19" i="6"/>
  <c r="J20" i="6"/>
  <c r="J21" i="6"/>
  <c r="J17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3" i="6"/>
  <c r="J5" i="6"/>
  <c r="E3" i="6"/>
  <c r="J6" i="6"/>
  <c r="J7" i="6"/>
  <c r="J8" i="6"/>
  <c r="J9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I12" i="5"/>
  <c r="I13" i="5"/>
  <c r="J4" i="5"/>
  <c r="J8" i="5"/>
  <c r="J5" i="5"/>
  <c r="J6" i="5"/>
  <c r="J7" i="5"/>
  <c r="I5" i="5"/>
  <c r="I6" i="5"/>
  <c r="I7" i="5"/>
  <c r="I4" i="5"/>
  <c r="D9" i="5"/>
  <c r="E9" i="5"/>
  <c r="E8" i="5"/>
  <c r="D8" i="5"/>
  <c r="E7" i="5"/>
  <c r="D7" i="5"/>
  <c r="E6" i="5"/>
  <c r="D6" i="5"/>
  <c r="E5" i="5"/>
  <c r="D5" i="5"/>
  <c r="E4" i="5"/>
  <c r="D4" i="5"/>
  <c r="E3" i="5"/>
  <c r="D3" i="5"/>
  <c r="D5" i="8" l="1"/>
  <c r="D6" i="8"/>
  <c r="D7" i="8"/>
  <c r="D8" i="8"/>
  <c r="M34" i="6"/>
  <c r="L29" i="6"/>
  <c r="L5" i="6"/>
  <c r="L9" i="6"/>
  <c r="L8" i="6"/>
  <c r="L7" i="6"/>
  <c r="L6" i="6"/>
  <c r="M5" i="6"/>
  <c r="M17" i="6"/>
  <c r="M21" i="6"/>
  <c r="M20" i="6"/>
  <c r="M19" i="6"/>
  <c r="M18" i="6"/>
  <c r="L17" i="6"/>
  <c r="L21" i="6"/>
  <c r="L20" i="6"/>
  <c r="L19" i="6"/>
  <c r="L18" i="6"/>
  <c r="M9" i="6"/>
  <c r="M8" i="6"/>
  <c r="M7" i="6"/>
  <c r="M6" i="6"/>
  <c r="M10" i="6" s="1"/>
  <c r="M22" i="6" l="1"/>
  <c r="C3" i="4" l="1"/>
  <c r="H14" i="4"/>
  <c r="I15" i="4"/>
  <c r="I16" i="4"/>
  <c r="I17" i="4"/>
  <c r="I18" i="4"/>
  <c r="I19" i="4"/>
  <c r="I20" i="4"/>
  <c r="I21" i="4"/>
  <c r="I22" i="4"/>
  <c r="I23" i="4"/>
  <c r="I24" i="4"/>
  <c r="I25" i="4"/>
  <c r="I14" i="4"/>
  <c r="H15" i="4"/>
  <c r="H16" i="4"/>
  <c r="H17" i="4"/>
  <c r="H18" i="4"/>
  <c r="H19" i="4"/>
  <c r="H20" i="4"/>
  <c r="H21" i="4"/>
  <c r="H22" i="4"/>
  <c r="H23" i="4"/>
  <c r="H24" i="4"/>
  <c r="H25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I5" i="4"/>
  <c r="I6" i="4"/>
  <c r="I7" i="4"/>
  <c r="I8" i="4"/>
  <c r="I4" i="4"/>
  <c r="H5" i="4"/>
  <c r="H6" i="4"/>
  <c r="H7" i="4"/>
  <c r="H8" i="4"/>
  <c r="H4" i="4"/>
  <c r="I26" i="4"/>
  <c r="I9" i="4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C14" i="3" s="1"/>
  <c r="B2" i="3"/>
  <c r="C2" i="2"/>
  <c r="C6" i="2"/>
  <c r="B6" i="2"/>
  <c r="C5" i="2"/>
  <c r="B5" i="2"/>
  <c r="C4" i="2"/>
  <c r="B4" i="2"/>
  <c r="C3" i="2"/>
  <c r="B3" i="2"/>
  <c r="C7" i="2"/>
  <c r="B2" i="2"/>
  <c r="H15" i="1"/>
  <c r="H16" i="1"/>
  <c r="H17" i="1"/>
  <c r="H18" i="1"/>
  <c r="H19" i="1"/>
  <c r="H20" i="1"/>
  <c r="H21" i="1"/>
  <c r="H22" i="1"/>
  <c r="H23" i="1"/>
  <c r="H24" i="1"/>
  <c r="H25" i="1"/>
  <c r="H14" i="1"/>
  <c r="H26" i="1" s="1"/>
  <c r="G19" i="1"/>
  <c r="G20" i="1"/>
  <c r="G21" i="1"/>
  <c r="G22" i="1"/>
  <c r="G23" i="1"/>
  <c r="G24" i="1"/>
  <c r="G25" i="1"/>
  <c r="G15" i="1"/>
  <c r="G16" i="1"/>
  <c r="G17" i="1"/>
  <c r="G18" i="1"/>
  <c r="G14" i="1"/>
  <c r="H5" i="1"/>
  <c r="H6" i="1"/>
  <c r="H7" i="1"/>
  <c r="H8" i="1"/>
  <c r="H4" i="1"/>
  <c r="H9" i="1" s="1"/>
  <c r="G4" i="1"/>
  <c r="G5" i="1"/>
  <c r="G6" i="1"/>
  <c r="G7" i="1"/>
  <c r="G8" i="1"/>
</calcChain>
</file>

<file path=xl/sharedStrings.xml><?xml version="1.0" encoding="utf-8"?>
<sst xmlns="http://schemas.openxmlformats.org/spreadsheetml/2006/main" count="999" uniqueCount="54">
  <si>
    <t>Motivo</t>
  </si>
  <si>
    <t>Mes</t>
  </si>
  <si>
    <t>Importe</t>
  </si>
  <si>
    <t>Luz</t>
  </si>
  <si>
    <t>Telefono</t>
  </si>
  <si>
    <t>Gas</t>
  </si>
  <si>
    <t>Agua</t>
  </si>
  <si>
    <t>Cable</t>
  </si>
  <si>
    <t>Enero</t>
  </si>
  <si>
    <t>Febrero</t>
  </si>
  <si>
    <t>Marzo</t>
  </si>
  <si>
    <t>Abril</t>
  </si>
  <si>
    <t>Cantidad</t>
  </si>
  <si>
    <t>Total</t>
  </si>
  <si>
    <t>Mayo</t>
  </si>
  <si>
    <t>Total:</t>
  </si>
  <si>
    <t>Junio</t>
  </si>
  <si>
    <t>Julio</t>
  </si>
  <si>
    <t>Agosto</t>
  </si>
  <si>
    <t>Septiembre</t>
  </si>
  <si>
    <t>Octubre</t>
  </si>
  <si>
    <t>Noviembre</t>
  </si>
  <si>
    <t>Diciembre</t>
  </si>
  <si>
    <t>Fecha</t>
  </si>
  <si>
    <t>mes</t>
  </si>
  <si>
    <t>Combo</t>
  </si>
  <si>
    <t>Valor</t>
  </si>
  <si>
    <t>Agrandado</t>
  </si>
  <si>
    <t>Total a pagar</t>
  </si>
  <si>
    <t>C2</t>
  </si>
  <si>
    <t>si</t>
  </si>
  <si>
    <t>no</t>
  </si>
  <si>
    <t>C1</t>
  </si>
  <si>
    <t>C3</t>
  </si>
  <si>
    <t>C4</t>
  </si>
  <si>
    <t>Combo1</t>
  </si>
  <si>
    <t>Combo2</t>
  </si>
  <si>
    <t>Combo3</t>
  </si>
  <si>
    <t>Combo4</t>
  </si>
  <si>
    <t>clave</t>
  </si>
  <si>
    <t>Sucursal</t>
  </si>
  <si>
    <t>S1</t>
  </si>
  <si>
    <t>S2</t>
  </si>
  <si>
    <t>S3</t>
  </si>
  <si>
    <t>S4</t>
  </si>
  <si>
    <t>S5</t>
  </si>
  <si>
    <t>clave2</t>
  </si>
  <si>
    <t>Sucursal 1</t>
  </si>
  <si>
    <t>Sucursal 2</t>
  </si>
  <si>
    <t>Sucursal 3</t>
  </si>
  <si>
    <t>Sucursal 4</t>
  </si>
  <si>
    <t>Sucursal 5</t>
  </si>
  <si>
    <t>Mes: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</si>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</sst>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0" fontId="0" fillId="0" borderId="5" xfId="0" applyBorder="1"/>
    <xf numFmtId="44" fontId="0" fillId="0" borderId="6" xfId="1" applyFont="1" applyBorder="1"/>
    <xf numFmtId="0" fontId="0" fillId="0" borderId="7" xfId="0" applyBorder="1"/>
    <xf numFmtId="0" fontId="0" fillId="0" borderId="8" xfId="0" applyBorder="1"/>
    <xf numFmtId="44" fontId="0" fillId="0" borderId="9" xfId="1" applyFont="1" applyBorder="1"/>
    <xf numFmtId="0" fontId="4" fillId="0" borderId="10" xfId="0" applyFont="1" applyBorder="1"/>
    <xf numFmtId="44" fontId="4" fillId="0" borderId="11" xfId="0" applyNumberFormat="1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7" xfId="0" applyFill="1" applyBorder="1"/>
    <xf numFmtId="0" fontId="0" fillId="0" borderId="5" xfId="0" applyFill="1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44" fontId="0" fillId="0" borderId="14" xfId="1" applyFont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4" borderId="10" xfId="0" applyFont="1" applyFill="1" applyBorder="1"/>
    <xf numFmtId="44" fontId="2" fillId="4" borderId="11" xfId="0" applyNumberFormat="1" applyFont="1" applyFill="1" applyBorder="1"/>
    <xf numFmtId="0" fontId="0" fillId="0" borderId="14" xfId="0" applyBorder="1"/>
    <xf numFmtId="0" fontId="0" fillId="4" borderId="15" xfId="0" applyFill="1" applyBorder="1"/>
    <xf numFmtId="0" fontId="0" fillId="4" borderId="17" xfId="0" applyFill="1" applyBorder="1"/>
    <xf numFmtId="0" fontId="2" fillId="4" borderId="15" xfId="0" applyFont="1" applyFill="1" applyBorder="1"/>
    <xf numFmtId="0" fontId="2" fillId="4" borderId="17" xfId="0" applyFont="1" applyFill="1" applyBorder="1"/>
    <xf numFmtId="0" fontId="0" fillId="4" borderId="16" xfId="0" applyFill="1" applyBorder="1"/>
    <xf numFmtId="0" fontId="0" fillId="4" borderId="10" xfId="0" applyFill="1" applyBorder="1"/>
    <xf numFmtId="44" fontId="0" fillId="4" borderId="11" xfId="0" applyNumberForma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Hoja1!$H$3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Hoja1!$F$4:$F$8</c:f>
              <c:strCache>
                <c:ptCount val="5"/>
                <c:pt idx="0">
                  <c:v>Agua</c:v>
                </c:pt>
                <c:pt idx="1">
                  <c:v>Cable</c:v>
                </c:pt>
                <c:pt idx="2">
                  <c:v>Gas</c:v>
                </c:pt>
                <c:pt idx="3">
                  <c:v>Luz</c:v>
                </c:pt>
                <c:pt idx="4">
                  <c:v>Telefono</c:v>
                </c:pt>
              </c:strCache>
            </c:strRef>
          </c:cat>
          <c:val>
            <c:numRef>
              <c:f>Hoja1!$H$4:$H$8</c:f>
              <c:numCache>
                <c:formatCode>_("$"* #,##0.00_);_("$"* \(#,##0.00\);_("$"* "-"??_);_(@_)</c:formatCode>
                <c:ptCount val="5"/>
                <c:pt idx="0">
                  <c:v>6300</c:v>
                </c:pt>
                <c:pt idx="1">
                  <c:v>11302</c:v>
                </c:pt>
                <c:pt idx="2">
                  <c:v>8805</c:v>
                </c:pt>
                <c:pt idx="3">
                  <c:v>23700</c:v>
                </c:pt>
                <c:pt idx="4">
                  <c:v>20155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5-4D01-AB39-5A98D3620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578958720"/>
        <c:axId val="1505318304"/>
        <c:axId val="0"/>
      </c:bar3DChart>
      <c:catAx>
        <c:axId val="15789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05318304"/>
        <c:crosses val="autoZero"/>
        <c:auto val="1"/>
        <c:lblAlgn val="ctr"/>
        <c:lblOffset val="100"/>
        <c:noMultiLvlLbl val="0"/>
      </c:catAx>
      <c:valAx>
        <c:axId val="15053183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7895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Hoja1!$H$13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Hoja1!$F$14:$F$25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Hoja1!$H$14:$H$25</c:f>
              <c:numCache>
                <c:formatCode>_("$"* #,##0.00_);_("$"* \(#,##0.00\);_("$"* "-"??_);_(@_)</c:formatCode>
                <c:ptCount val="12"/>
                <c:pt idx="0">
                  <c:v>12700</c:v>
                </c:pt>
                <c:pt idx="1">
                  <c:v>14000</c:v>
                </c:pt>
                <c:pt idx="2">
                  <c:v>10600</c:v>
                </c:pt>
                <c:pt idx="3">
                  <c:v>9007</c:v>
                </c:pt>
                <c:pt idx="4">
                  <c:v>14000</c:v>
                </c:pt>
                <c:pt idx="5">
                  <c:v>9955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9-4D08-9672-576AE2BA3B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2321344"/>
        <c:axId val="1671272064"/>
      </c:lineChart>
      <c:catAx>
        <c:axId val="15023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1272064"/>
        <c:crosses val="autoZero"/>
        <c:auto val="1"/>
        <c:lblAlgn val="ctr"/>
        <c:lblOffset val="100"/>
        <c:noMultiLvlLbl val="0"/>
      </c:catAx>
      <c:valAx>
        <c:axId val="16712720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0232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Hoja5!$I$11</c:f>
              <c:strCache>
                <c:ptCount val="1"/>
                <c:pt idx="0">
                  <c:v>Cantidad</c:v>
                </c:pt>
              </c:strCache>
            </c:strRef>
          </c:tx>
          <c:explosion val="35"/>
          <c:dPt>
            <c:idx val="0"/>
            <c:bubble3D val="0"/>
            <c:explosion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62-40C3-AB7D-8B2029679331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862-40C3-AB7D-8B2029679331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862-40C3-AB7D-8B2029679331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862-40C3-AB7D-8B2029679331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Hoja5!$H$12:$H$13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Hoja5!$I$12:$I$13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2-40C3-AB7D-8B202967933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77777777776E-2"/>
          <c:y val="0.19432888597258677"/>
          <c:w val="0.7926205161854768"/>
          <c:h val="0.75474518810148727"/>
        </c:manualLayout>
      </c:layout>
      <c:pie3DChart>
        <c:varyColors val="1"/>
        <c:ser>
          <c:idx val="0"/>
          <c:order val="0"/>
          <c:tx>
            <c:strRef>
              <c:f>Hoja5!$I$3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explosion val="19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470-46BB-BC11-640FA4A20D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Hoja5!$H$4:$H$7</c:f>
              <c:strCache>
                <c:ptCount val="4"/>
                <c:pt idx="0">
                  <c:v>Combo1</c:v>
                </c:pt>
                <c:pt idx="1">
                  <c:v>Combo2</c:v>
                </c:pt>
                <c:pt idx="2">
                  <c:v>Combo3</c:v>
                </c:pt>
                <c:pt idx="3">
                  <c:v>Combo4</c:v>
                </c:pt>
              </c:strCache>
            </c:strRef>
          </c:cat>
          <c:val>
            <c:numRef>
              <c:f>Hoja5!$I$4:$I$7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0-46BB-BC11-640FA4A20D30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14287</xdr:rowOff>
    </xdr:from>
    <xdr:to>
      <xdr:col>14</xdr:col>
      <xdr:colOff>9525</xdr:colOff>
      <xdr:row>14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3A8AEB-2B34-4EEF-A85E-8E279E6B0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14287</xdr:rowOff>
    </xdr:from>
    <xdr:to>
      <xdr:col>14</xdr:col>
      <xdr:colOff>0</xdr:colOff>
      <xdr:row>29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CC3CB6-5D57-41C1-9082-515C8C7ED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4</xdr:col>
      <xdr:colOff>247650</xdr:colOff>
      <xdr:row>22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367B40-3A17-4E03-87C3-55104F27A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685800</xdr:colOff>
      <xdr:row>13</xdr:row>
      <xdr:rowOff>147637</xdr:rowOff>
    </xdr:from>
    <xdr:to>
      <xdr:col>9</xdr:col>
      <xdr:colOff>1447800</xdr:colOff>
      <xdr:row>28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16C77B-D860-476A-A44A-8925724D7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84AA-D8B1-4B61-8FE9-CE88543301D0}">
  <dimension ref="A2:H26"/>
  <sheetViews>
    <sheetView workbookViewId="0">
      <selection activeCell="F4" sqref="F4:F8"/>
    </sheetView>
  </sheetViews>
  <sheetFormatPr baseColWidth="10" defaultRowHeight="15" x14ac:dyDescent="0.25"/>
  <cols>
    <col min="8" max="8" width="30.140625" customWidth="1"/>
  </cols>
  <sheetData>
    <row r="2" spans="1:8" ht="15.75" thickBot="1" x14ac:dyDescent="0.3">
      <c r="A2" t="s">
        <v>0</v>
      </c>
      <c r="B2" t="s">
        <v>1</v>
      </c>
      <c r="C2" t="s">
        <v>2</v>
      </c>
    </row>
    <row r="3" spans="1:8" x14ac:dyDescent="0.25">
      <c r="A3" t="s">
        <v>3</v>
      </c>
      <c r="B3" t="s">
        <v>8</v>
      </c>
      <c r="C3" s="1">
        <v>2500</v>
      </c>
      <c r="F3" s="11" t="s">
        <v>0</v>
      </c>
      <c r="G3" s="12" t="s">
        <v>12</v>
      </c>
      <c r="H3" s="13" t="s">
        <v>13</v>
      </c>
    </row>
    <row r="4" spans="1:8" x14ac:dyDescent="0.25">
      <c r="A4" t="s">
        <v>3</v>
      </c>
      <c r="B4" t="s">
        <v>8</v>
      </c>
      <c r="C4" s="1">
        <v>3200</v>
      </c>
      <c r="F4" s="4" t="s">
        <v>6</v>
      </c>
      <c r="G4" s="3">
        <f>COUNTIF(motivo,F4)</f>
        <v>3</v>
      </c>
      <c r="H4" s="5">
        <f>SUMIF(motivo,F4,importe)</f>
        <v>6300</v>
      </c>
    </row>
    <row r="5" spans="1:8" x14ac:dyDescent="0.25">
      <c r="A5" t="s">
        <v>4</v>
      </c>
      <c r="B5" t="s">
        <v>8</v>
      </c>
      <c r="C5" s="1">
        <v>5200</v>
      </c>
      <c r="F5" s="4" t="s">
        <v>7</v>
      </c>
      <c r="G5" s="3">
        <f>COUNTIF(motivo,F5)</f>
        <v>3</v>
      </c>
      <c r="H5" s="5">
        <f>SUMIF(motivo,F5,importe)</f>
        <v>11302</v>
      </c>
    </row>
    <row r="6" spans="1:8" x14ac:dyDescent="0.25">
      <c r="A6" t="s">
        <v>5</v>
      </c>
      <c r="B6" t="s">
        <v>8</v>
      </c>
      <c r="C6" s="1">
        <v>1800</v>
      </c>
      <c r="F6" s="4" t="s">
        <v>5</v>
      </c>
      <c r="G6" s="3">
        <f>COUNTIF(motivo,F6)</f>
        <v>4</v>
      </c>
      <c r="H6" s="5">
        <f>SUMIF(motivo,F6,importe)</f>
        <v>8805</v>
      </c>
    </row>
    <row r="7" spans="1:8" x14ac:dyDescent="0.25">
      <c r="A7" t="s">
        <v>6</v>
      </c>
      <c r="B7" t="s">
        <v>9</v>
      </c>
      <c r="C7" s="1">
        <v>2500</v>
      </c>
      <c r="F7" s="4" t="s">
        <v>3</v>
      </c>
      <c r="G7" s="3">
        <f>COUNTIF(motivo,F7)</f>
        <v>6</v>
      </c>
      <c r="H7" s="5">
        <f>SUMIF(motivo,F7,importe)</f>
        <v>23700</v>
      </c>
    </row>
    <row r="8" spans="1:8" ht="15.75" thickBot="1" x14ac:dyDescent="0.3">
      <c r="A8" t="s">
        <v>7</v>
      </c>
      <c r="B8" t="s">
        <v>9</v>
      </c>
      <c r="C8" s="1">
        <v>3500</v>
      </c>
      <c r="F8" s="6" t="s">
        <v>4</v>
      </c>
      <c r="G8" s="7">
        <f>COUNTIF(motivo,F8)</f>
        <v>5</v>
      </c>
      <c r="H8" s="8">
        <f>SUMIF(motivo,F8,importe)</f>
        <v>20155</v>
      </c>
    </row>
    <row r="9" spans="1:8" ht="19.5" thickBot="1" x14ac:dyDescent="0.35">
      <c r="A9" t="s">
        <v>4</v>
      </c>
      <c r="B9" t="s">
        <v>9</v>
      </c>
      <c r="C9" s="1">
        <v>6500</v>
      </c>
      <c r="G9" s="9" t="s">
        <v>15</v>
      </c>
      <c r="H9" s="10">
        <f>SUM(H4:H8)</f>
        <v>70262</v>
      </c>
    </row>
    <row r="10" spans="1:8" x14ac:dyDescent="0.25">
      <c r="A10" t="s">
        <v>4</v>
      </c>
      <c r="B10" t="s">
        <v>9</v>
      </c>
      <c r="C10" s="1">
        <v>1500</v>
      </c>
    </row>
    <row r="11" spans="1:8" x14ac:dyDescent="0.25">
      <c r="A11" t="s">
        <v>5</v>
      </c>
      <c r="B11" t="s">
        <v>10</v>
      </c>
      <c r="C11" s="1">
        <v>1800</v>
      </c>
    </row>
    <row r="12" spans="1:8" ht="15.75" thickBot="1" x14ac:dyDescent="0.3">
      <c r="A12" t="s">
        <v>6</v>
      </c>
      <c r="B12" t="s">
        <v>10</v>
      </c>
      <c r="C12" s="1">
        <v>2500</v>
      </c>
    </row>
    <row r="13" spans="1:8" ht="15.75" thickBot="1" x14ac:dyDescent="0.3">
      <c r="A13" t="s">
        <v>3</v>
      </c>
      <c r="B13" t="s">
        <v>10</v>
      </c>
      <c r="C13" s="1">
        <v>2900</v>
      </c>
      <c r="F13" s="20" t="s">
        <v>1</v>
      </c>
      <c r="G13" s="21" t="s">
        <v>12</v>
      </c>
      <c r="H13" s="22" t="s">
        <v>13</v>
      </c>
    </row>
    <row r="14" spans="1:8" x14ac:dyDescent="0.25">
      <c r="A14" t="s">
        <v>3</v>
      </c>
      <c r="B14" t="s">
        <v>10</v>
      </c>
      <c r="C14" s="1">
        <v>3400</v>
      </c>
      <c r="F14" s="17" t="s">
        <v>8</v>
      </c>
      <c r="G14" s="18">
        <f>COUNTIF(mes,F14)</f>
        <v>4</v>
      </c>
      <c r="H14" s="19">
        <f>SUMIF(mes,F14,importe)</f>
        <v>12700</v>
      </c>
    </row>
    <row r="15" spans="1:8" x14ac:dyDescent="0.25">
      <c r="A15" t="s">
        <v>7</v>
      </c>
      <c r="B15" t="s">
        <v>11</v>
      </c>
      <c r="C15" s="1">
        <v>5002</v>
      </c>
      <c r="F15" s="4" t="s">
        <v>9</v>
      </c>
      <c r="G15" s="3">
        <f>COUNTIF(mes,F15)</f>
        <v>4</v>
      </c>
      <c r="H15" s="19">
        <f>SUMIF(mes,F15,importe)</f>
        <v>14000</v>
      </c>
    </row>
    <row r="16" spans="1:8" x14ac:dyDescent="0.25">
      <c r="A16" t="s">
        <v>5</v>
      </c>
      <c r="B16" t="s">
        <v>11</v>
      </c>
      <c r="C16" s="1">
        <v>4005</v>
      </c>
      <c r="F16" s="4" t="s">
        <v>10</v>
      </c>
      <c r="G16" s="3">
        <f>COUNTIF(mes,F16)</f>
        <v>4</v>
      </c>
      <c r="H16" s="19">
        <f>SUMIF(mes,F16,importe)</f>
        <v>10600</v>
      </c>
    </row>
    <row r="17" spans="1:8" x14ac:dyDescent="0.25">
      <c r="A17" t="s">
        <v>3</v>
      </c>
      <c r="B17" t="s">
        <v>14</v>
      </c>
      <c r="C17" s="1">
        <v>5200</v>
      </c>
      <c r="F17" s="4" t="s">
        <v>11</v>
      </c>
      <c r="G17" s="3">
        <f>COUNTIF(mes,F17)</f>
        <v>2</v>
      </c>
      <c r="H17" s="19">
        <f>SUMIF(mes,F17,importe)</f>
        <v>9007</v>
      </c>
    </row>
    <row r="18" spans="1:8" x14ac:dyDescent="0.25">
      <c r="A18" t="s">
        <v>4</v>
      </c>
      <c r="B18" t="s">
        <v>14</v>
      </c>
      <c r="C18" s="1">
        <v>3500</v>
      </c>
      <c r="F18" s="4" t="s">
        <v>14</v>
      </c>
      <c r="G18" s="3">
        <f>COUNTIF(mes,F18)</f>
        <v>5</v>
      </c>
      <c r="H18" s="19">
        <f>SUMIF(mes,F18,importe)</f>
        <v>14000</v>
      </c>
    </row>
    <row r="19" spans="1:8" x14ac:dyDescent="0.25">
      <c r="A19" t="s">
        <v>7</v>
      </c>
      <c r="B19" t="s">
        <v>14</v>
      </c>
      <c r="C19" s="1">
        <v>2800</v>
      </c>
      <c r="F19" s="15" t="s">
        <v>16</v>
      </c>
      <c r="G19" s="3">
        <f>COUNTIF(mes,F19)</f>
        <v>2</v>
      </c>
      <c r="H19" s="19">
        <f>SUMIF(mes,F19,importe)</f>
        <v>9955</v>
      </c>
    </row>
    <row r="20" spans="1:8" x14ac:dyDescent="0.25">
      <c r="A20" t="s">
        <v>5</v>
      </c>
      <c r="B20" t="s">
        <v>14</v>
      </c>
      <c r="C20" s="1">
        <v>1200</v>
      </c>
      <c r="F20" s="4" t="s">
        <v>17</v>
      </c>
      <c r="G20" s="3">
        <f>COUNTIF(mes,F20)</f>
        <v>0</v>
      </c>
      <c r="H20" s="19">
        <f>SUMIF(mes,F20,importe)</f>
        <v>0</v>
      </c>
    </row>
    <row r="21" spans="1:8" x14ac:dyDescent="0.25">
      <c r="A21" t="s">
        <v>6</v>
      </c>
      <c r="B21" t="s">
        <v>14</v>
      </c>
      <c r="C21" s="1">
        <v>1300</v>
      </c>
      <c r="F21" s="15" t="s">
        <v>18</v>
      </c>
      <c r="G21" s="3">
        <f>COUNTIF(mes,F21)</f>
        <v>0</v>
      </c>
      <c r="H21" s="19">
        <f>SUMIF(mes,F21,importe)</f>
        <v>0</v>
      </c>
    </row>
    <row r="22" spans="1:8" x14ac:dyDescent="0.25">
      <c r="A22" t="s">
        <v>4</v>
      </c>
      <c r="B22" t="s">
        <v>16</v>
      </c>
      <c r="C22" s="1">
        <v>3455</v>
      </c>
      <c r="F22" s="4" t="s">
        <v>19</v>
      </c>
      <c r="G22" s="3">
        <f>COUNTIF(mes,F22)</f>
        <v>0</v>
      </c>
      <c r="H22" s="19">
        <f>SUMIF(mes,F22,importe)</f>
        <v>0</v>
      </c>
    </row>
    <row r="23" spans="1:8" x14ac:dyDescent="0.25">
      <c r="A23" t="s">
        <v>3</v>
      </c>
      <c r="B23" t="s">
        <v>16</v>
      </c>
      <c r="C23" s="1">
        <v>6500</v>
      </c>
      <c r="F23" s="15" t="s">
        <v>20</v>
      </c>
      <c r="G23" s="3">
        <f>COUNTIF(mes,F23)</f>
        <v>0</v>
      </c>
      <c r="H23" s="19">
        <f>SUMIF(mes,F23,importe)</f>
        <v>0</v>
      </c>
    </row>
    <row r="24" spans="1:8" x14ac:dyDescent="0.25">
      <c r="F24" s="4" t="s">
        <v>21</v>
      </c>
      <c r="G24" s="3">
        <f>COUNTIF(mes,F24)</f>
        <v>0</v>
      </c>
      <c r="H24" s="19">
        <f>SUMIF(mes,F24,importe)</f>
        <v>0</v>
      </c>
    </row>
    <row r="25" spans="1:8" ht="15.75" thickBot="1" x14ac:dyDescent="0.3">
      <c r="F25" s="14" t="s">
        <v>22</v>
      </c>
      <c r="G25" s="7">
        <f>COUNTIF(mes,F25)</f>
        <v>0</v>
      </c>
      <c r="H25" s="19">
        <f>SUMIF(mes,F25,importe)</f>
        <v>0</v>
      </c>
    </row>
    <row r="26" spans="1:8" ht="19.5" thickBot="1" x14ac:dyDescent="0.35">
      <c r="G26" s="9" t="s">
        <v>15</v>
      </c>
      <c r="H26" s="10">
        <f>SUM(H14:H25)</f>
        <v>70262</v>
      </c>
    </row>
  </sheetData>
  <phoneticPr fontId="5" type="noConversion"/>
  <conditionalFormatting sqref="H4:H8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{3DFDCBED-3A34-4838-810E-4271F4643742}</x14:id>
        </ext>
      </extLst>
    </cfRule>
  </conditionalFormatting>
  <conditionalFormatting sqref="H14:H2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FDCBED-3A34-4838-810E-4271F4643742}">
            <x14:dataBar minLength="0" maxLength="100" border="1" direction="rightToLeft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H4:H8</xm:sqref>
        </x14:conditionalFormatting>
        <x14:conditionalFormatting xmlns:xm="http://schemas.microsoft.com/office/excel/2006/main">
          <x14:cfRule type="iconSet" priority="2" id="{0CF48286-1EDA-4658-964F-A685D1FB994E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H14:H25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41BE-E324-4FCF-943C-475BB7FAD61A}">
  <dimension ref="A2:M300"/>
  <sheetViews>
    <sheetView topLeftCell="F19" workbookViewId="0">
      <selection activeCell="I26" sqref="I26:M34"/>
    </sheetView>
  </sheetViews>
  <sheetFormatPr baseColWidth="10" defaultRowHeight="15" x14ac:dyDescent="0.25"/>
  <cols>
    <col min="3" max="3" width="0" hidden="1" customWidth="1"/>
    <col min="5" max="5" width="16.7109375" customWidth="1"/>
    <col min="6" max="6" width="29.42578125" customWidth="1"/>
    <col min="9" max="9" width="14.7109375" customWidth="1"/>
    <col min="10" max="10" width="8.5703125" customWidth="1"/>
    <col min="12" max="12" width="11.85546875" bestFit="1" customWidth="1"/>
    <col min="13" max="13" width="25.7109375" customWidth="1"/>
  </cols>
  <sheetData>
    <row r="2" spans="1:13" x14ac:dyDescent="0.25">
      <c r="A2" t="s">
        <v>40</v>
      </c>
      <c r="B2" t="s">
        <v>0</v>
      </c>
      <c r="C2" t="s">
        <v>46</v>
      </c>
      <c r="D2" t="s">
        <v>1</v>
      </c>
      <c r="E2" t="s">
        <v>39</v>
      </c>
      <c r="F2" t="s">
        <v>39</v>
      </c>
      <c r="G2" t="s">
        <v>2</v>
      </c>
    </row>
    <row r="3" spans="1:13" ht="15.75" thickBot="1" x14ac:dyDescent="0.3">
      <c r="A3" t="s">
        <v>41</v>
      </c>
      <c r="B3" t="s">
        <v>3</v>
      </c>
      <c r="C3" t="str">
        <f>CONCATENATE(A3,B3)</f>
        <v>S1Luz</v>
      </c>
      <c r="D3" t="s">
        <v>8</v>
      </c>
      <c r="E3" t="str">
        <f>CONCATENATE(B3,D3)</f>
        <v>LuzEnero</v>
      </c>
      <c r="F3" t="str">
        <f>CONCATENATE(A3,B3,D3)</f>
        <v>S1LuzEnero</v>
      </c>
      <c r="G3" s="1">
        <v>2500</v>
      </c>
      <c r="H3" s="1"/>
      <c r="L3" t="s">
        <v>1</v>
      </c>
      <c r="M3" t="s">
        <v>19</v>
      </c>
    </row>
    <row r="4" spans="1:13" ht="15.75" thickBot="1" x14ac:dyDescent="0.3">
      <c r="A4" t="s">
        <v>41</v>
      </c>
      <c r="B4" t="s">
        <v>3</v>
      </c>
      <c r="C4" t="str">
        <f t="shared" ref="C4:C23" si="0">CONCATENATE(A4,B4)</f>
        <v>S1Luz</v>
      </c>
      <c r="D4" t="s">
        <v>8</v>
      </c>
      <c r="E4" t="str">
        <f t="shared" ref="E4:E23" si="1">CONCATENATE(B4,D4)</f>
        <v>LuzEnero</v>
      </c>
      <c r="F4" t="str">
        <f t="shared" ref="F4:F67" si="2">CONCATENATE(A4,B4,D4)</f>
        <v>S1LuzEnero</v>
      </c>
      <c r="G4" s="1">
        <v>3200</v>
      </c>
      <c r="H4" s="1"/>
      <c r="K4" s="35" t="s">
        <v>0</v>
      </c>
      <c r="L4" s="39" t="s">
        <v>12</v>
      </c>
      <c r="M4" s="36" t="s">
        <v>13</v>
      </c>
    </row>
    <row r="5" spans="1:13" x14ac:dyDescent="0.25">
      <c r="A5" t="s">
        <v>42</v>
      </c>
      <c r="B5" t="s">
        <v>4</v>
      </c>
      <c r="C5" t="str">
        <f t="shared" si="0"/>
        <v>S2Telefono</v>
      </c>
      <c r="D5" t="s">
        <v>8</v>
      </c>
      <c r="E5" t="str">
        <f t="shared" si="1"/>
        <v>TelefonoEnero</v>
      </c>
      <c r="F5" t="str">
        <f t="shared" si="2"/>
        <v>S2TelefonoEnero</v>
      </c>
      <c r="G5" s="1">
        <v>5200</v>
      </c>
      <c r="H5" s="1"/>
      <c r="J5" s="28" t="str">
        <f>CONCATENATE(K5,$M$3)</f>
        <v>AguaSeptiembre</v>
      </c>
      <c r="K5" s="17" t="s">
        <v>6</v>
      </c>
      <c r="L5" s="18">
        <f>COUNTIF(clave,J5)</f>
        <v>1</v>
      </c>
      <c r="M5" s="19">
        <f>SUMIF(clave,J5,importe3)</f>
        <v>1300</v>
      </c>
    </row>
    <row r="6" spans="1:13" x14ac:dyDescent="0.25">
      <c r="A6" t="s">
        <v>43</v>
      </c>
      <c r="B6" t="s">
        <v>5</v>
      </c>
      <c r="C6" t="str">
        <f t="shared" si="0"/>
        <v>S3Gas</v>
      </c>
      <c r="D6" t="s">
        <v>8</v>
      </c>
      <c r="E6" t="str">
        <f t="shared" si="1"/>
        <v>GasEnero</v>
      </c>
      <c r="F6" t="str">
        <f t="shared" si="2"/>
        <v>S3GasEnero</v>
      </c>
      <c r="G6" s="1">
        <v>1800</v>
      </c>
      <c r="H6" s="1"/>
      <c r="J6" s="28" t="str">
        <f t="shared" ref="J6:J9" si="3">CONCATENATE(K6,$M$3)</f>
        <v>CableSeptiembre</v>
      </c>
      <c r="K6" s="4" t="s">
        <v>7</v>
      </c>
      <c r="L6" s="18">
        <f>COUNTIF(clave,J6)</f>
        <v>1</v>
      </c>
      <c r="M6" s="19">
        <f>SUMIF(clave,J6,importe3)</f>
        <v>3500</v>
      </c>
    </row>
    <row r="7" spans="1:13" x14ac:dyDescent="0.25">
      <c r="A7" t="s">
        <v>44</v>
      </c>
      <c r="B7" t="s">
        <v>6</v>
      </c>
      <c r="C7" t="str">
        <f t="shared" si="0"/>
        <v>S4Agua</v>
      </c>
      <c r="D7" t="s">
        <v>9</v>
      </c>
      <c r="E7" t="str">
        <f t="shared" si="1"/>
        <v>AguaFebrero</v>
      </c>
      <c r="F7" t="str">
        <f t="shared" si="2"/>
        <v>S4AguaFebrero</v>
      </c>
      <c r="G7" s="1">
        <v>2500</v>
      </c>
      <c r="H7" s="1"/>
      <c r="J7" s="28" t="str">
        <f t="shared" si="3"/>
        <v>GasSeptiembre</v>
      </c>
      <c r="K7" s="4" t="s">
        <v>5</v>
      </c>
      <c r="L7" s="18">
        <f>COUNTIF(clave,J7)</f>
        <v>4</v>
      </c>
      <c r="M7" s="19">
        <f>SUMIF(clave,J7,importe3)</f>
        <v>6600</v>
      </c>
    </row>
    <row r="8" spans="1:13" x14ac:dyDescent="0.25">
      <c r="A8" t="s">
        <v>42</v>
      </c>
      <c r="B8" t="s">
        <v>7</v>
      </c>
      <c r="C8" t="str">
        <f t="shared" si="0"/>
        <v>S2Cable</v>
      </c>
      <c r="D8" t="s">
        <v>9</v>
      </c>
      <c r="E8" t="str">
        <f t="shared" si="1"/>
        <v>CableFebrero</v>
      </c>
      <c r="F8" t="str">
        <f t="shared" si="2"/>
        <v>S2CableFebrero</v>
      </c>
      <c r="G8" s="1">
        <v>3500</v>
      </c>
      <c r="H8" s="1"/>
      <c r="J8" s="28" t="str">
        <f t="shared" si="3"/>
        <v>LuzSeptiembre</v>
      </c>
      <c r="K8" s="4" t="s">
        <v>3</v>
      </c>
      <c r="L8" s="18">
        <f>COUNTIF(clave,J8)</f>
        <v>7</v>
      </c>
      <c r="M8" s="19">
        <f>SUMIF(clave,J8,importe3)</f>
        <v>34900</v>
      </c>
    </row>
    <row r="9" spans="1:13" ht="15.75" thickBot="1" x14ac:dyDescent="0.3">
      <c r="A9" t="s">
        <v>43</v>
      </c>
      <c r="B9" t="s">
        <v>4</v>
      </c>
      <c r="C9" t="str">
        <f t="shared" si="0"/>
        <v>S3Telefono</v>
      </c>
      <c r="D9" t="s">
        <v>9</v>
      </c>
      <c r="E9" t="str">
        <f t="shared" si="1"/>
        <v>TelefonoFebrero</v>
      </c>
      <c r="F9" t="str">
        <f t="shared" si="2"/>
        <v>S3TelefonoFebrero</v>
      </c>
      <c r="G9" s="1">
        <v>6500</v>
      </c>
      <c r="H9" s="1"/>
      <c r="J9" s="28" t="str">
        <f t="shared" si="3"/>
        <v>TelefonoSeptiembre</v>
      </c>
      <c r="K9" s="6" t="s">
        <v>4</v>
      </c>
      <c r="L9" s="18">
        <f>COUNTIF(clave,J9)</f>
        <v>1</v>
      </c>
      <c r="M9" s="19">
        <f>SUMIF(clave,J9,importe3)</f>
        <v>5200</v>
      </c>
    </row>
    <row r="10" spans="1:13" ht="15.75" thickBot="1" x14ac:dyDescent="0.3">
      <c r="A10" t="s">
        <v>41</v>
      </c>
      <c r="B10" t="s">
        <v>4</v>
      </c>
      <c r="C10" t="str">
        <f t="shared" si="0"/>
        <v>S1Telefono</v>
      </c>
      <c r="D10" t="s">
        <v>9</v>
      </c>
      <c r="E10" t="str">
        <f t="shared" si="1"/>
        <v>TelefonoFebrero</v>
      </c>
      <c r="F10" t="str">
        <f t="shared" si="2"/>
        <v>S1TelefonoFebrero</v>
      </c>
      <c r="G10" s="1">
        <v>1500</v>
      </c>
      <c r="H10" s="1"/>
      <c r="J10" s="28"/>
      <c r="L10" s="40" t="s">
        <v>15</v>
      </c>
      <c r="M10" s="33">
        <f>SUM(M5:M9)</f>
        <v>51500</v>
      </c>
    </row>
    <row r="11" spans="1:13" x14ac:dyDescent="0.25">
      <c r="A11" t="s">
        <v>42</v>
      </c>
      <c r="B11" t="s">
        <v>5</v>
      </c>
      <c r="C11" t="str">
        <f t="shared" si="0"/>
        <v>S2Gas</v>
      </c>
      <c r="D11" t="s">
        <v>10</v>
      </c>
      <c r="E11" t="str">
        <f t="shared" si="1"/>
        <v>GasMarzo</v>
      </c>
      <c r="F11" t="str">
        <f t="shared" si="2"/>
        <v>S2GasMarzo</v>
      </c>
      <c r="G11" s="1">
        <v>1800</v>
      </c>
      <c r="H11" s="1"/>
      <c r="J11" s="28"/>
    </row>
    <row r="12" spans="1:13" x14ac:dyDescent="0.25">
      <c r="A12" t="s">
        <v>45</v>
      </c>
      <c r="B12" t="s">
        <v>6</v>
      </c>
      <c r="C12" t="str">
        <f t="shared" si="0"/>
        <v>S5Agua</v>
      </c>
      <c r="D12" t="s">
        <v>10</v>
      </c>
      <c r="E12" t="str">
        <f t="shared" si="1"/>
        <v>AguaMarzo</v>
      </c>
      <c r="F12" t="str">
        <f t="shared" si="2"/>
        <v>S5AguaMarzo</v>
      </c>
      <c r="G12" s="1">
        <v>2500</v>
      </c>
      <c r="H12" s="1"/>
      <c r="J12" s="28"/>
    </row>
    <row r="13" spans="1:13" x14ac:dyDescent="0.25">
      <c r="A13" t="s">
        <v>43</v>
      </c>
      <c r="B13" t="s">
        <v>3</v>
      </c>
      <c r="C13" t="str">
        <f t="shared" si="0"/>
        <v>S3Luz</v>
      </c>
      <c r="D13" t="s">
        <v>10</v>
      </c>
      <c r="E13" t="str">
        <f t="shared" si="1"/>
        <v>LuzMarzo</v>
      </c>
      <c r="F13" t="str">
        <f t="shared" si="2"/>
        <v>S3LuzMarzo</v>
      </c>
      <c r="G13" s="1">
        <v>2900</v>
      </c>
      <c r="H13" s="1"/>
      <c r="J13" s="28"/>
    </row>
    <row r="14" spans="1:13" x14ac:dyDescent="0.25">
      <c r="A14" t="s">
        <v>42</v>
      </c>
      <c r="B14" t="s">
        <v>3</v>
      </c>
      <c r="C14" t="str">
        <f t="shared" si="0"/>
        <v>S2Luz</v>
      </c>
      <c r="D14" t="s">
        <v>10</v>
      </c>
      <c r="E14" t="str">
        <f t="shared" si="1"/>
        <v>LuzMarzo</v>
      </c>
      <c r="F14" t="str">
        <f t="shared" si="2"/>
        <v>S2LuzMarzo</v>
      </c>
      <c r="G14" s="1">
        <v>3400</v>
      </c>
      <c r="H14" s="1"/>
      <c r="J14" s="28"/>
    </row>
    <row r="15" spans="1:13" ht="15.75" thickBot="1" x14ac:dyDescent="0.3">
      <c r="A15" t="s">
        <v>41</v>
      </c>
      <c r="B15" t="s">
        <v>7</v>
      </c>
      <c r="C15" t="str">
        <f t="shared" si="0"/>
        <v>S1Cable</v>
      </c>
      <c r="D15" t="s">
        <v>11</v>
      </c>
      <c r="E15" t="str">
        <f t="shared" si="1"/>
        <v>CableAbril</v>
      </c>
      <c r="F15" t="str">
        <f t="shared" si="2"/>
        <v>S1CableAbril</v>
      </c>
      <c r="G15" s="1">
        <v>5002</v>
      </c>
      <c r="H15" s="1"/>
      <c r="J15" s="28"/>
      <c r="L15" t="s">
        <v>40</v>
      </c>
      <c r="M15" t="s">
        <v>41</v>
      </c>
    </row>
    <row r="16" spans="1:13" x14ac:dyDescent="0.25">
      <c r="A16" t="s">
        <v>42</v>
      </c>
      <c r="B16" t="s">
        <v>5</v>
      </c>
      <c r="C16" t="str">
        <f t="shared" si="0"/>
        <v>S2Gas</v>
      </c>
      <c r="D16" t="s">
        <v>11</v>
      </c>
      <c r="E16" t="str">
        <f t="shared" si="1"/>
        <v>GasAbril</v>
      </c>
      <c r="F16" t="str">
        <f t="shared" si="2"/>
        <v>S2GasAbril</v>
      </c>
      <c r="G16" s="1">
        <v>4005</v>
      </c>
      <c r="H16" s="1"/>
      <c r="J16" s="28"/>
      <c r="K16" s="42" t="s">
        <v>0</v>
      </c>
      <c r="L16" s="43" t="s">
        <v>12</v>
      </c>
      <c r="M16" s="44" t="s">
        <v>13</v>
      </c>
    </row>
    <row r="17" spans="1:13" x14ac:dyDescent="0.25">
      <c r="A17" t="s">
        <v>43</v>
      </c>
      <c r="B17" t="s">
        <v>3</v>
      </c>
      <c r="C17" t="str">
        <f t="shared" si="0"/>
        <v>S3Luz</v>
      </c>
      <c r="D17" t="s">
        <v>14</v>
      </c>
      <c r="E17" t="str">
        <f t="shared" si="1"/>
        <v>LuzMayo</v>
      </c>
      <c r="F17" t="str">
        <f t="shared" si="2"/>
        <v>S3LuzMayo</v>
      </c>
      <c r="G17" s="1">
        <v>5200</v>
      </c>
      <c r="H17" s="1"/>
      <c r="J17" s="28" t="str">
        <f>CONCATENATE($M$15,K17)</f>
        <v>S1Agua</v>
      </c>
      <c r="K17" s="4" t="s">
        <v>6</v>
      </c>
      <c r="L17" s="3">
        <f>COUNTIF(clave2,J17)</f>
        <v>10</v>
      </c>
      <c r="M17" s="5">
        <f>SUMIF(clave2,J17,importe3)</f>
        <v>13000</v>
      </c>
    </row>
    <row r="18" spans="1:13" x14ac:dyDescent="0.25">
      <c r="A18" t="s">
        <v>44</v>
      </c>
      <c r="B18" t="s">
        <v>4</v>
      </c>
      <c r="C18" t="str">
        <f t="shared" si="0"/>
        <v>S4Telefono</v>
      </c>
      <c r="D18" t="s">
        <v>14</v>
      </c>
      <c r="E18" t="str">
        <f t="shared" si="1"/>
        <v>TelefonoMayo</v>
      </c>
      <c r="F18" t="str">
        <f t="shared" si="2"/>
        <v>S4TelefonoMayo</v>
      </c>
      <c r="G18" s="1">
        <v>3500</v>
      </c>
      <c r="H18" s="1"/>
      <c r="J18" s="28" t="str">
        <f t="shared" ref="J18:J21" si="4">CONCATENATE($M$15,K18)</f>
        <v>S1Cable</v>
      </c>
      <c r="K18" s="4" t="s">
        <v>7</v>
      </c>
      <c r="L18" s="3">
        <f>COUNTIF(clave2,J18)</f>
        <v>12</v>
      </c>
      <c r="M18" s="5">
        <f>SUMIF(clave2,J18,importe3)</f>
        <v>60024</v>
      </c>
    </row>
    <row r="19" spans="1:13" x14ac:dyDescent="0.25">
      <c r="A19" t="s">
        <v>45</v>
      </c>
      <c r="B19" t="s">
        <v>7</v>
      </c>
      <c r="C19" t="str">
        <f t="shared" si="0"/>
        <v>S5Cable</v>
      </c>
      <c r="D19" t="s">
        <v>14</v>
      </c>
      <c r="E19" t="str">
        <f t="shared" si="1"/>
        <v>CableMayo</v>
      </c>
      <c r="F19" t="str">
        <f t="shared" si="2"/>
        <v>S5CableMayo</v>
      </c>
      <c r="G19" s="1">
        <v>2800</v>
      </c>
      <c r="H19" s="1"/>
      <c r="J19" s="28" t="str">
        <f t="shared" si="4"/>
        <v>S1Gas</v>
      </c>
      <c r="K19" s="4" t="s">
        <v>5</v>
      </c>
      <c r="L19" s="3">
        <f>COUNTIF(clave2,J19)</f>
        <v>0</v>
      </c>
      <c r="M19" s="5">
        <f>SUMIF(clave2,J19,importe3)</f>
        <v>0</v>
      </c>
    </row>
    <row r="20" spans="1:13" x14ac:dyDescent="0.25">
      <c r="A20" t="s">
        <v>42</v>
      </c>
      <c r="B20" t="s">
        <v>5</v>
      </c>
      <c r="C20" t="str">
        <f t="shared" si="0"/>
        <v>S2Gas</v>
      </c>
      <c r="D20" t="s">
        <v>14</v>
      </c>
      <c r="E20" t="str">
        <f t="shared" si="1"/>
        <v>GasMayo</v>
      </c>
      <c r="F20" t="str">
        <f t="shared" si="2"/>
        <v>S2GasMayo</v>
      </c>
      <c r="G20" s="1">
        <v>1200</v>
      </c>
      <c r="H20" s="1"/>
      <c r="J20" s="28" t="str">
        <f t="shared" si="4"/>
        <v>S1Luz</v>
      </c>
      <c r="K20" s="4" t="s">
        <v>3</v>
      </c>
      <c r="L20" s="3">
        <f>COUNTIF(clave2,J20)</f>
        <v>20</v>
      </c>
      <c r="M20" s="5">
        <f>SUMIF(clave2,J20,importe3)</f>
        <v>57000</v>
      </c>
    </row>
    <row r="21" spans="1:13" ht="15.75" thickBot="1" x14ac:dyDescent="0.3">
      <c r="A21" t="s">
        <v>41</v>
      </c>
      <c r="B21" t="s">
        <v>6</v>
      </c>
      <c r="C21" t="str">
        <f t="shared" si="0"/>
        <v>S1Agua</v>
      </c>
      <c r="D21" t="s">
        <v>14</v>
      </c>
      <c r="E21" t="str">
        <f t="shared" si="1"/>
        <v>AguaMayo</v>
      </c>
      <c r="F21" t="str">
        <f t="shared" si="2"/>
        <v>S1AguaMayo</v>
      </c>
      <c r="G21" s="1">
        <v>1300</v>
      </c>
      <c r="H21" s="1"/>
      <c r="J21" s="28" t="str">
        <f t="shared" si="4"/>
        <v>S1Telefono</v>
      </c>
      <c r="K21" s="6" t="s">
        <v>4</v>
      </c>
      <c r="L21" s="3">
        <f>COUNTIF(clave2,J21)</f>
        <v>12</v>
      </c>
      <c r="M21" s="5">
        <f>SUMIF(clave2,J21,importe3)</f>
        <v>18000</v>
      </c>
    </row>
    <row r="22" spans="1:13" ht="15.75" thickBot="1" x14ac:dyDescent="0.3">
      <c r="A22" t="s">
        <v>42</v>
      </c>
      <c r="B22" t="s">
        <v>4</v>
      </c>
      <c r="C22" t="str">
        <f t="shared" si="0"/>
        <v>S2Telefono</v>
      </c>
      <c r="D22" t="s">
        <v>16</v>
      </c>
      <c r="E22" t="str">
        <f t="shared" si="1"/>
        <v>TelefonoJunio</v>
      </c>
      <c r="F22" t="str">
        <f t="shared" si="2"/>
        <v>S2TelefonoJunio</v>
      </c>
      <c r="G22" s="1">
        <v>3455</v>
      </c>
      <c r="H22" s="1"/>
      <c r="L22" s="40" t="s">
        <v>13</v>
      </c>
      <c r="M22" s="33">
        <f>SUM(M17:M21)</f>
        <v>148024</v>
      </c>
    </row>
    <row r="23" spans="1:13" x14ac:dyDescent="0.25">
      <c r="A23" t="s">
        <v>42</v>
      </c>
      <c r="B23" t="s">
        <v>3</v>
      </c>
      <c r="C23" t="str">
        <f t="shared" si="0"/>
        <v>S2Luz</v>
      </c>
      <c r="D23" t="s">
        <v>16</v>
      </c>
      <c r="E23" t="str">
        <f t="shared" si="1"/>
        <v>LuzJunio</v>
      </c>
      <c r="F23" t="str">
        <f t="shared" si="2"/>
        <v>S2LuzJunio</v>
      </c>
      <c r="G23" s="1">
        <v>6500</v>
      </c>
      <c r="H23" s="1"/>
    </row>
    <row r="24" spans="1:13" x14ac:dyDescent="0.25">
      <c r="A24" t="s">
        <v>41</v>
      </c>
      <c r="B24" t="s">
        <v>3</v>
      </c>
      <c r="C24" t="str">
        <f>CONCATENATE(A24,B24)</f>
        <v>S1Luz</v>
      </c>
      <c r="D24" t="s">
        <v>8</v>
      </c>
      <c r="E24" t="str">
        <f>CONCATENATE(B24,D24)</f>
        <v>LuzEnero</v>
      </c>
      <c r="F24" t="str">
        <f t="shared" si="2"/>
        <v>S1LuzEnero</v>
      </c>
      <c r="G24" s="1">
        <v>2500</v>
      </c>
      <c r="H24" s="1"/>
    </row>
    <row r="25" spans="1:13" x14ac:dyDescent="0.25">
      <c r="A25" t="s">
        <v>41</v>
      </c>
      <c r="B25" t="s">
        <v>3</v>
      </c>
      <c r="C25" t="str">
        <f t="shared" ref="C25:C44" si="5">CONCATENATE(A25,B25)</f>
        <v>S1Luz</v>
      </c>
      <c r="D25" t="s">
        <v>8</v>
      </c>
      <c r="E25" t="str">
        <f t="shared" ref="E25:E44" si="6">CONCATENATE(B25,D25)</f>
        <v>LuzEnero</v>
      </c>
      <c r="F25" t="str">
        <f t="shared" si="2"/>
        <v>S1LuzEnero</v>
      </c>
      <c r="G25" s="1">
        <v>3200</v>
      </c>
      <c r="H25" s="1"/>
    </row>
    <row r="26" spans="1:13" x14ac:dyDescent="0.25">
      <c r="A26" t="s">
        <v>42</v>
      </c>
      <c r="B26" t="s">
        <v>4</v>
      </c>
      <c r="C26" t="str">
        <f t="shared" si="5"/>
        <v>S2Telefono</v>
      </c>
      <c r="D26" t="s">
        <v>8</v>
      </c>
      <c r="E26" t="str">
        <f t="shared" si="6"/>
        <v>TelefonoEnero</v>
      </c>
      <c r="F26" t="str">
        <f t="shared" si="2"/>
        <v>S2TelefonoEnero</v>
      </c>
      <c r="G26" s="1">
        <v>5200</v>
      </c>
      <c r="H26" s="1"/>
      <c r="L26" t="s">
        <v>52</v>
      </c>
      <c r="M26" t="s">
        <v>20</v>
      </c>
    </row>
    <row r="27" spans="1:13" ht="15.75" thickBot="1" x14ac:dyDescent="0.3">
      <c r="A27" t="s">
        <v>43</v>
      </c>
      <c r="B27" t="s">
        <v>5</v>
      </c>
      <c r="C27" t="str">
        <f t="shared" si="5"/>
        <v>S3Gas</v>
      </c>
      <c r="D27" t="s">
        <v>8</v>
      </c>
      <c r="E27" t="str">
        <f t="shared" si="6"/>
        <v>GasEnero</v>
      </c>
      <c r="F27" t="str">
        <f t="shared" si="2"/>
        <v>S3GasEnero</v>
      </c>
      <c r="G27" s="1">
        <v>1800</v>
      </c>
      <c r="H27" s="1"/>
      <c r="L27" t="s">
        <v>53</v>
      </c>
      <c r="M27" t="s">
        <v>6</v>
      </c>
    </row>
    <row r="28" spans="1:13" ht="15.75" thickBot="1" x14ac:dyDescent="0.3">
      <c r="A28" t="s">
        <v>42</v>
      </c>
      <c r="B28" t="s">
        <v>6</v>
      </c>
      <c r="C28" t="str">
        <f t="shared" si="5"/>
        <v>S2Agua</v>
      </c>
      <c r="D28" t="s">
        <v>9</v>
      </c>
      <c r="E28" t="str">
        <f t="shared" si="6"/>
        <v>AguaFebrero</v>
      </c>
      <c r="F28" t="str">
        <f t="shared" si="2"/>
        <v>S2AguaFebrero</v>
      </c>
      <c r="G28" s="1">
        <v>2500</v>
      </c>
      <c r="H28" s="1"/>
      <c r="K28" s="35" t="s">
        <v>40</v>
      </c>
      <c r="L28" s="39" t="s">
        <v>12</v>
      </c>
      <c r="M28" s="36" t="s">
        <v>13</v>
      </c>
    </row>
    <row r="29" spans="1:13" x14ac:dyDescent="0.25">
      <c r="A29" t="s">
        <v>42</v>
      </c>
      <c r="B29" t="s">
        <v>7</v>
      </c>
      <c r="C29" t="str">
        <f t="shared" si="5"/>
        <v>S2Cable</v>
      </c>
      <c r="D29" t="s">
        <v>9</v>
      </c>
      <c r="E29" t="str">
        <f t="shared" si="6"/>
        <v>CableFebrero</v>
      </c>
      <c r="F29" t="str">
        <f t="shared" si="2"/>
        <v>S2CableFebrero</v>
      </c>
      <c r="G29" s="1">
        <v>3500</v>
      </c>
      <c r="H29" s="1"/>
      <c r="I29" s="28" t="str">
        <f>CONCATENATE(J29,$M$27,$M$26)</f>
        <v>S1AguaOctubre</v>
      </c>
      <c r="J29" s="28" t="s">
        <v>41</v>
      </c>
      <c r="K29" s="17" t="s">
        <v>47</v>
      </c>
      <c r="L29" s="18">
        <f>COUNTIF(clave3,I29)</f>
        <v>0</v>
      </c>
      <c r="M29" s="19">
        <f>SUMIF(clave3,I29,importe3)</f>
        <v>0</v>
      </c>
    </row>
    <row r="30" spans="1:13" x14ac:dyDescent="0.25">
      <c r="A30" t="s">
        <v>43</v>
      </c>
      <c r="B30" t="s">
        <v>4</v>
      </c>
      <c r="C30" t="str">
        <f t="shared" si="5"/>
        <v>S3Telefono</v>
      </c>
      <c r="D30" t="s">
        <v>9</v>
      </c>
      <c r="E30" t="str">
        <f t="shared" si="6"/>
        <v>TelefonoFebrero</v>
      </c>
      <c r="F30" t="str">
        <f t="shared" si="2"/>
        <v>S3TelefonoFebrero</v>
      </c>
      <c r="G30" s="1">
        <v>6500</v>
      </c>
      <c r="H30" s="1"/>
      <c r="I30" s="28" t="str">
        <f t="shared" ref="I30:I33" si="7">CONCATENATE(J30,$M$27,$M$26)</f>
        <v>S2AguaOctubre</v>
      </c>
      <c r="J30" s="28" t="s">
        <v>42</v>
      </c>
      <c r="K30" s="4" t="s">
        <v>48</v>
      </c>
      <c r="L30" s="18">
        <f>COUNTIF(clave3,I30)</f>
        <v>0</v>
      </c>
      <c r="M30" s="19">
        <f>SUMIF(clave3,I30,importe3)</f>
        <v>0</v>
      </c>
    </row>
    <row r="31" spans="1:13" x14ac:dyDescent="0.25">
      <c r="A31" t="s">
        <v>41</v>
      </c>
      <c r="B31" t="s">
        <v>4</v>
      </c>
      <c r="C31" t="str">
        <f t="shared" si="5"/>
        <v>S1Telefono</v>
      </c>
      <c r="D31" t="s">
        <v>9</v>
      </c>
      <c r="E31" t="str">
        <f t="shared" si="6"/>
        <v>TelefonoFebrero</v>
      </c>
      <c r="F31" t="str">
        <f t="shared" si="2"/>
        <v>S1TelefonoFebrero</v>
      </c>
      <c r="G31" s="1">
        <v>1500</v>
      </c>
      <c r="H31" s="1"/>
      <c r="I31" s="28" t="str">
        <f t="shared" si="7"/>
        <v>S3AguaOctubre</v>
      </c>
      <c r="J31" s="28" t="s">
        <v>43</v>
      </c>
      <c r="K31" s="4" t="s">
        <v>49</v>
      </c>
      <c r="L31" s="18">
        <f>COUNTIF(clave3,I31)</f>
        <v>0</v>
      </c>
      <c r="M31" s="19">
        <f>SUMIF(clave3,I31,importe3)</f>
        <v>0</v>
      </c>
    </row>
    <row r="32" spans="1:13" x14ac:dyDescent="0.25">
      <c r="A32" t="s">
        <v>42</v>
      </c>
      <c r="B32" t="s">
        <v>5</v>
      </c>
      <c r="C32" t="str">
        <f t="shared" si="5"/>
        <v>S2Gas</v>
      </c>
      <c r="D32" t="s">
        <v>10</v>
      </c>
      <c r="E32" t="str">
        <f t="shared" si="6"/>
        <v>GasMarzo</v>
      </c>
      <c r="F32" t="str">
        <f t="shared" si="2"/>
        <v>S2GasMarzo</v>
      </c>
      <c r="G32" s="1">
        <v>1800</v>
      </c>
      <c r="H32" s="1"/>
      <c r="I32" s="28" t="str">
        <f t="shared" si="7"/>
        <v>S4AguaOctubre</v>
      </c>
      <c r="J32" s="28" t="s">
        <v>44</v>
      </c>
      <c r="K32" s="4" t="s">
        <v>50</v>
      </c>
      <c r="L32" s="18">
        <f>COUNTIF(clave3,I32)</f>
        <v>0</v>
      </c>
      <c r="M32" s="19">
        <f>SUMIF(clave3,I32,importe3)</f>
        <v>0</v>
      </c>
    </row>
    <row r="33" spans="1:13" ht="15.75" thickBot="1" x14ac:dyDescent="0.3">
      <c r="A33" t="s">
        <v>45</v>
      </c>
      <c r="B33" t="s">
        <v>6</v>
      </c>
      <c r="C33" t="str">
        <f t="shared" si="5"/>
        <v>S5Agua</v>
      </c>
      <c r="D33" t="s">
        <v>10</v>
      </c>
      <c r="E33" t="str">
        <f t="shared" si="6"/>
        <v>AguaMarzo</v>
      </c>
      <c r="F33" t="str">
        <f t="shared" si="2"/>
        <v>S5AguaMarzo</v>
      </c>
      <c r="G33" s="1">
        <v>2500</v>
      </c>
      <c r="H33" s="1"/>
      <c r="I33" s="28" t="str">
        <f t="shared" si="7"/>
        <v>S5AguaOctubre</v>
      </c>
      <c r="J33" s="28" t="s">
        <v>45</v>
      </c>
      <c r="K33" s="6" t="s">
        <v>51</v>
      </c>
      <c r="L33" s="18">
        <f>COUNTIF(clave3,I33)</f>
        <v>4</v>
      </c>
      <c r="M33" s="19">
        <f>SUMIF(clave3,I33,importe3)</f>
        <v>8800</v>
      </c>
    </row>
    <row r="34" spans="1:13" ht="15.75" thickBot="1" x14ac:dyDescent="0.3">
      <c r="A34" t="s">
        <v>43</v>
      </c>
      <c r="B34" t="s">
        <v>3</v>
      </c>
      <c r="C34" t="str">
        <f t="shared" si="5"/>
        <v>S3Luz</v>
      </c>
      <c r="D34" t="s">
        <v>10</v>
      </c>
      <c r="E34" t="str">
        <f t="shared" si="6"/>
        <v>LuzMarzo</v>
      </c>
      <c r="F34" t="str">
        <f t="shared" si="2"/>
        <v>S3LuzMarzo</v>
      </c>
      <c r="G34" s="1">
        <v>2900</v>
      </c>
      <c r="H34" s="1"/>
      <c r="L34" s="40" t="s">
        <v>15</v>
      </c>
      <c r="M34" s="41">
        <f>SUM(M29:M33)</f>
        <v>8800</v>
      </c>
    </row>
    <row r="35" spans="1:13" x14ac:dyDescent="0.25">
      <c r="A35" t="s">
        <v>42</v>
      </c>
      <c r="B35" t="s">
        <v>3</v>
      </c>
      <c r="C35" t="str">
        <f t="shared" si="5"/>
        <v>S2Luz</v>
      </c>
      <c r="D35" t="s">
        <v>10</v>
      </c>
      <c r="E35" t="str">
        <f t="shared" si="6"/>
        <v>LuzMarzo</v>
      </c>
      <c r="F35" t="str">
        <f t="shared" si="2"/>
        <v>S2LuzMarzo</v>
      </c>
      <c r="G35" s="1">
        <v>3400</v>
      </c>
      <c r="H35" s="1"/>
    </row>
    <row r="36" spans="1:13" x14ac:dyDescent="0.25">
      <c r="A36" t="s">
        <v>41</v>
      </c>
      <c r="B36" t="s">
        <v>7</v>
      </c>
      <c r="C36" t="str">
        <f t="shared" si="5"/>
        <v>S1Cable</v>
      </c>
      <c r="D36" t="s">
        <v>11</v>
      </c>
      <c r="E36" t="str">
        <f t="shared" si="6"/>
        <v>CableAbril</v>
      </c>
      <c r="F36" t="str">
        <f t="shared" si="2"/>
        <v>S1CableAbril</v>
      </c>
      <c r="G36" s="1">
        <v>5002</v>
      </c>
      <c r="H36" s="1"/>
    </row>
    <row r="37" spans="1:13" x14ac:dyDescent="0.25">
      <c r="A37" t="s">
        <v>42</v>
      </c>
      <c r="B37" t="s">
        <v>5</v>
      </c>
      <c r="C37" t="str">
        <f t="shared" si="5"/>
        <v>S2Gas</v>
      </c>
      <c r="D37" t="s">
        <v>11</v>
      </c>
      <c r="E37" t="str">
        <f t="shared" si="6"/>
        <v>GasAbril</v>
      </c>
      <c r="F37" t="str">
        <f t="shared" si="2"/>
        <v>S2GasAbril</v>
      </c>
      <c r="G37" s="1">
        <v>4005</v>
      </c>
      <c r="H37" s="1"/>
    </row>
    <row r="38" spans="1:13" x14ac:dyDescent="0.25">
      <c r="A38" t="s">
        <v>43</v>
      </c>
      <c r="B38" t="s">
        <v>3</v>
      </c>
      <c r="C38" t="str">
        <f t="shared" si="5"/>
        <v>S3Luz</v>
      </c>
      <c r="D38" t="s">
        <v>14</v>
      </c>
      <c r="E38" t="str">
        <f t="shared" si="6"/>
        <v>LuzMayo</v>
      </c>
      <c r="F38" t="str">
        <f t="shared" si="2"/>
        <v>S3LuzMayo</v>
      </c>
      <c r="G38" s="1">
        <v>5200</v>
      </c>
      <c r="H38" s="1"/>
    </row>
    <row r="39" spans="1:13" x14ac:dyDescent="0.25">
      <c r="A39" t="s">
        <v>44</v>
      </c>
      <c r="B39" t="s">
        <v>4</v>
      </c>
      <c r="C39" t="str">
        <f t="shared" si="5"/>
        <v>S4Telefono</v>
      </c>
      <c r="D39" t="s">
        <v>14</v>
      </c>
      <c r="E39" t="str">
        <f t="shared" si="6"/>
        <v>TelefonoMayo</v>
      </c>
      <c r="F39" t="str">
        <f t="shared" si="2"/>
        <v>S4TelefonoMayo</v>
      </c>
      <c r="G39" s="1">
        <v>3500</v>
      </c>
      <c r="H39" s="1"/>
    </row>
    <row r="40" spans="1:13" x14ac:dyDescent="0.25">
      <c r="A40" t="s">
        <v>45</v>
      </c>
      <c r="B40" t="s">
        <v>7</v>
      </c>
      <c r="C40" t="str">
        <f t="shared" si="5"/>
        <v>S5Cable</v>
      </c>
      <c r="D40" t="s">
        <v>14</v>
      </c>
      <c r="E40" t="str">
        <f t="shared" si="6"/>
        <v>CableMayo</v>
      </c>
      <c r="F40" t="str">
        <f t="shared" si="2"/>
        <v>S5CableMayo</v>
      </c>
      <c r="G40" s="1">
        <v>2800</v>
      </c>
      <c r="H40" s="1"/>
    </row>
    <row r="41" spans="1:13" x14ac:dyDescent="0.25">
      <c r="A41" t="s">
        <v>42</v>
      </c>
      <c r="B41" t="s">
        <v>5</v>
      </c>
      <c r="C41" t="str">
        <f t="shared" si="5"/>
        <v>S2Gas</v>
      </c>
      <c r="D41" t="s">
        <v>14</v>
      </c>
      <c r="E41" t="str">
        <f t="shared" si="6"/>
        <v>GasMayo</v>
      </c>
      <c r="F41" t="str">
        <f t="shared" si="2"/>
        <v>S2GasMayo</v>
      </c>
      <c r="G41" s="1">
        <v>1200</v>
      </c>
      <c r="H41" s="1"/>
    </row>
    <row r="42" spans="1:13" x14ac:dyDescent="0.25">
      <c r="A42" t="s">
        <v>41</v>
      </c>
      <c r="B42" t="s">
        <v>6</v>
      </c>
      <c r="C42" t="str">
        <f t="shared" si="5"/>
        <v>S1Agua</v>
      </c>
      <c r="D42" t="s">
        <v>14</v>
      </c>
      <c r="E42" t="str">
        <f t="shared" si="6"/>
        <v>AguaMayo</v>
      </c>
      <c r="F42" t="str">
        <f t="shared" si="2"/>
        <v>S1AguaMayo</v>
      </c>
      <c r="G42" s="1">
        <v>1300</v>
      </c>
      <c r="H42" s="1"/>
    </row>
    <row r="43" spans="1:13" x14ac:dyDescent="0.25">
      <c r="A43" t="s">
        <v>42</v>
      </c>
      <c r="B43" t="s">
        <v>4</v>
      </c>
      <c r="C43" t="str">
        <f t="shared" si="5"/>
        <v>S2Telefono</v>
      </c>
      <c r="D43" t="s">
        <v>16</v>
      </c>
      <c r="E43" t="str">
        <f t="shared" si="6"/>
        <v>TelefonoJunio</v>
      </c>
      <c r="F43" t="str">
        <f t="shared" si="2"/>
        <v>S2TelefonoJunio</v>
      </c>
      <c r="G43" s="1">
        <v>3455</v>
      </c>
      <c r="H43" s="1"/>
    </row>
    <row r="44" spans="1:13" x14ac:dyDescent="0.25">
      <c r="A44" t="s">
        <v>42</v>
      </c>
      <c r="B44" t="s">
        <v>3</v>
      </c>
      <c r="C44" t="str">
        <f t="shared" si="5"/>
        <v>S2Luz</v>
      </c>
      <c r="D44" t="s">
        <v>16</v>
      </c>
      <c r="E44" t="str">
        <f t="shared" si="6"/>
        <v>LuzJunio</v>
      </c>
      <c r="F44" t="str">
        <f t="shared" si="2"/>
        <v>S2LuzJunio</v>
      </c>
      <c r="G44" s="1">
        <v>6500</v>
      </c>
      <c r="H44" s="1"/>
    </row>
    <row r="45" spans="1:13" x14ac:dyDescent="0.25">
      <c r="A45" t="s">
        <v>41</v>
      </c>
      <c r="B45" t="s">
        <v>3</v>
      </c>
      <c r="C45" t="str">
        <f>CONCATENATE(A45,B45)</f>
        <v>S1Luz</v>
      </c>
      <c r="D45" t="s">
        <v>16</v>
      </c>
      <c r="E45" t="str">
        <f>CONCATENATE(B45,D45)</f>
        <v>LuzJunio</v>
      </c>
      <c r="F45" t="str">
        <f t="shared" si="2"/>
        <v>S1LuzJunio</v>
      </c>
      <c r="G45" s="1">
        <v>2500</v>
      </c>
      <c r="H45" s="1"/>
    </row>
    <row r="46" spans="1:13" x14ac:dyDescent="0.25">
      <c r="A46" t="s">
        <v>41</v>
      </c>
      <c r="B46" t="s">
        <v>3</v>
      </c>
      <c r="C46" t="str">
        <f t="shared" ref="C46:C65" si="8">CONCATENATE(A46,B46)</f>
        <v>S1Luz</v>
      </c>
      <c r="D46" t="s">
        <v>16</v>
      </c>
      <c r="E46" t="str">
        <f t="shared" ref="E46:E65" si="9">CONCATENATE(B46,D46)</f>
        <v>LuzJunio</v>
      </c>
      <c r="F46" t="str">
        <f t="shared" si="2"/>
        <v>S1LuzJunio</v>
      </c>
      <c r="G46" s="1">
        <v>3200</v>
      </c>
      <c r="H46" s="1"/>
    </row>
    <row r="47" spans="1:13" x14ac:dyDescent="0.25">
      <c r="A47" t="s">
        <v>42</v>
      </c>
      <c r="B47" t="s">
        <v>4</v>
      </c>
      <c r="C47" t="str">
        <f t="shared" si="8"/>
        <v>S2Telefono</v>
      </c>
      <c r="D47" t="s">
        <v>16</v>
      </c>
      <c r="E47" t="str">
        <f t="shared" si="9"/>
        <v>TelefonoJunio</v>
      </c>
      <c r="F47" t="str">
        <f t="shared" si="2"/>
        <v>S2TelefonoJunio</v>
      </c>
      <c r="G47" s="1">
        <v>5200</v>
      </c>
      <c r="H47" s="1"/>
    </row>
    <row r="48" spans="1:13" x14ac:dyDescent="0.25">
      <c r="A48" t="s">
        <v>43</v>
      </c>
      <c r="B48" t="s">
        <v>5</v>
      </c>
      <c r="C48" t="str">
        <f t="shared" si="8"/>
        <v>S3Gas</v>
      </c>
      <c r="D48" t="s">
        <v>16</v>
      </c>
      <c r="E48" t="str">
        <f t="shared" si="9"/>
        <v>GasJunio</v>
      </c>
      <c r="F48" t="str">
        <f t="shared" si="2"/>
        <v>S3GasJunio</v>
      </c>
      <c r="G48" s="1">
        <v>1800</v>
      </c>
      <c r="H48" s="1"/>
    </row>
    <row r="49" spans="1:8" x14ac:dyDescent="0.25">
      <c r="A49" t="s">
        <v>44</v>
      </c>
      <c r="B49" t="s">
        <v>6</v>
      </c>
      <c r="C49" t="str">
        <f t="shared" si="8"/>
        <v>S4Agua</v>
      </c>
      <c r="D49" t="s">
        <v>14</v>
      </c>
      <c r="E49" t="str">
        <f t="shared" si="9"/>
        <v>AguaMayo</v>
      </c>
      <c r="F49" t="str">
        <f t="shared" si="2"/>
        <v>S4AguaMayo</v>
      </c>
      <c r="G49" s="1">
        <v>2500</v>
      </c>
      <c r="H49" s="1"/>
    </row>
    <row r="50" spans="1:8" x14ac:dyDescent="0.25">
      <c r="A50" t="s">
        <v>42</v>
      </c>
      <c r="B50" t="s">
        <v>7</v>
      </c>
      <c r="C50" t="str">
        <f t="shared" si="8"/>
        <v>S2Cable</v>
      </c>
      <c r="D50" t="s">
        <v>14</v>
      </c>
      <c r="E50" t="str">
        <f t="shared" si="9"/>
        <v>CableMayo</v>
      </c>
      <c r="F50" t="str">
        <f t="shared" si="2"/>
        <v>S2CableMayo</v>
      </c>
      <c r="G50" s="1">
        <v>3500</v>
      </c>
      <c r="H50" s="1"/>
    </row>
    <row r="51" spans="1:8" x14ac:dyDescent="0.25">
      <c r="A51" t="s">
        <v>43</v>
      </c>
      <c r="B51" t="s">
        <v>4</v>
      </c>
      <c r="C51" t="str">
        <f t="shared" si="8"/>
        <v>S3Telefono</v>
      </c>
      <c r="D51" t="s">
        <v>14</v>
      </c>
      <c r="E51" t="str">
        <f t="shared" si="9"/>
        <v>TelefonoMayo</v>
      </c>
      <c r="F51" t="str">
        <f t="shared" si="2"/>
        <v>S3TelefonoMayo</v>
      </c>
      <c r="G51" s="1">
        <v>6500</v>
      </c>
      <c r="H51" s="1"/>
    </row>
    <row r="52" spans="1:8" x14ac:dyDescent="0.25">
      <c r="A52" t="s">
        <v>41</v>
      </c>
      <c r="B52" t="s">
        <v>4</v>
      </c>
      <c r="C52" t="str">
        <f t="shared" si="8"/>
        <v>S1Telefono</v>
      </c>
      <c r="D52" t="s">
        <v>14</v>
      </c>
      <c r="E52" t="str">
        <f t="shared" si="9"/>
        <v>TelefonoMayo</v>
      </c>
      <c r="F52" t="str">
        <f t="shared" si="2"/>
        <v>S1TelefonoMayo</v>
      </c>
      <c r="G52" s="1">
        <v>1500</v>
      </c>
      <c r="H52" s="1"/>
    </row>
    <row r="53" spans="1:8" x14ac:dyDescent="0.25">
      <c r="A53" t="s">
        <v>42</v>
      </c>
      <c r="B53" t="s">
        <v>5</v>
      </c>
      <c r="C53" t="str">
        <f t="shared" si="8"/>
        <v>S2Gas</v>
      </c>
      <c r="D53" t="s">
        <v>14</v>
      </c>
      <c r="E53" t="str">
        <f t="shared" si="9"/>
        <v>GasMayo</v>
      </c>
      <c r="F53" t="str">
        <f t="shared" si="2"/>
        <v>S2GasMayo</v>
      </c>
      <c r="G53" s="1">
        <v>1800</v>
      </c>
      <c r="H53" s="1"/>
    </row>
    <row r="54" spans="1:8" x14ac:dyDescent="0.25">
      <c r="A54" t="s">
        <v>45</v>
      </c>
      <c r="B54" t="s">
        <v>6</v>
      </c>
      <c r="C54" t="str">
        <f t="shared" si="8"/>
        <v>S5Agua</v>
      </c>
      <c r="D54" t="s">
        <v>11</v>
      </c>
      <c r="E54" t="str">
        <f t="shared" si="9"/>
        <v>AguaAbril</v>
      </c>
      <c r="F54" t="str">
        <f t="shared" si="2"/>
        <v>S5AguaAbril</v>
      </c>
      <c r="G54" s="1">
        <v>2500</v>
      </c>
      <c r="H54" s="1"/>
    </row>
    <row r="55" spans="1:8" x14ac:dyDescent="0.25">
      <c r="A55" t="s">
        <v>44</v>
      </c>
      <c r="B55" t="s">
        <v>3</v>
      </c>
      <c r="C55" t="str">
        <f t="shared" si="8"/>
        <v>S4Luz</v>
      </c>
      <c r="D55" t="s">
        <v>11</v>
      </c>
      <c r="E55" t="str">
        <f t="shared" si="9"/>
        <v>LuzAbril</v>
      </c>
      <c r="F55" t="str">
        <f t="shared" si="2"/>
        <v>S4LuzAbril</v>
      </c>
      <c r="G55" s="1">
        <v>2900</v>
      </c>
      <c r="H55" s="1"/>
    </row>
    <row r="56" spans="1:8" x14ac:dyDescent="0.25">
      <c r="A56" t="s">
        <v>42</v>
      </c>
      <c r="B56" t="s">
        <v>3</v>
      </c>
      <c r="C56" t="str">
        <f t="shared" si="8"/>
        <v>S2Luz</v>
      </c>
      <c r="D56" t="s">
        <v>11</v>
      </c>
      <c r="E56" t="str">
        <f t="shared" si="9"/>
        <v>LuzAbril</v>
      </c>
      <c r="F56" t="str">
        <f t="shared" si="2"/>
        <v>S2LuzAbril</v>
      </c>
      <c r="G56" s="1">
        <v>3400</v>
      </c>
      <c r="H56" s="1"/>
    </row>
    <row r="57" spans="1:8" x14ac:dyDescent="0.25">
      <c r="A57" t="s">
        <v>41</v>
      </c>
      <c r="B57" t="s">
        <v>7</v>
      </c>
      <c r="C57" t="str">
        <f t="shared" si="8"/>
        <v>S1Cable</v>
      </c>
      <c r="D57" t="s">
        <v>11</v>
      </c>
      <c r="E57" t="str">
        <f t="shared" si="9"/>
        <v>CableAbril</v>
      </c>
      <c r="F57" t="str">
        <f t="shared" si="2"/>
        <v>S1CableAbril</v>
      </c>
      <c r="G57" s="1">
        <v>5002</v>
      </c>
      <c r="H57" s="1"/>
    </row>
    <row r="58" spans="1:8" x14ac:dyDescent="0.25">
      <c r="A58" t="s">
        <v>42</v>
      </c>
      <c r="B58" t="s">
        <v>5</v>
      </c>
      <c r="C58" t="str">
        <f t="shared" si="8"/>
        <v>S2Gas</v>
      </c>
      <c r="D58" t="s">
        <v>11</v>
      </c>
      <c r="E58" t="str">
        <f t="shared" si="9"/>
        <v>GasAbril</v>
      </c>
      <c r="F58" t="str">
        <f t="shared" si="2"/>
        <v>S2GasAbril</v>
      </c>
      <c r="G58" s="1">
        <v>4005</v>
      </c>
      <c r="H58" s="1"/>
    </row>
    <row r="59" spans="1:8" x14ac:dyDescent="0.25">
      <c r="A59" t="s">
        <v>43</v>
      </c>
      <c r="B59" t="s">
        <v>3</v>
      </c>
      <c r="C59" t="str">
        <f t="shared" si="8"/>
        <v>S3Luz</v>
      </c>
      <c r="D59" t="s">
        <v>11</v>
      </c>
      <c r="E59" t="str">
        <f t="shared" si="9"/>
        <v>LuzAbril</v>
      </c>
      <c r="F59" t="str">
        <f t="shared" si="2"/>
        <v>S3LuzAbril</v>
      </c>
      <c r="G59" s="1">
        <v>5200</v>
      </c>
      <c r="H59" s="1"/>
    </row>
    <row r="60" spans="1:8" x14ac:dyDescent="0.25">
      <c r="A60" t="s">
        <v>44</v>
      </c>
      <c r="B60" t="s">
        <v>4</v>
      </c>
      <c r="C60" t="str">
        <f t="shared" si="8"/>
        <v>S4Telefono</v>
      </c>
      <c r="D60" t="s">
        <v>11</v>
      </c>
      <c r="E60" t="str">
        <f t="shared" si="9"/>
        <v>TelefonoAbril</v>
      </c>
      <c r="F60" t="str">
        <f t="shared" si="2"/>
        <v>S4TelefonoAbril</v>
      </c>
      <c r="G60" s="1">
        <v>3500</v>
      </c>
      <c r="H60" s="1"/>
    </row>
    <row r="61" spans="1:8" x14ac:dyDescent="0.25">
      <c r="A61" t="s">
        <v>45</v>
      </c>
      <c r="B61" t="s">
        <v>7</v>
      </c>
      <c r="C61" t="str">
        <f t="shared" si="8"/>
        <v>S5Cable</v>
      </c>
      <c r="D61" t="s">
        <v>11</v>
      </c>
      <c r="E61" t="str">
        <f t="shared" si="9"/>
        <v>CableAbril</v>
      </c>
      <c r="F61" t="str">
        <f t="shared" si="2"/>
        <v>S5CableAbril</v>
      </c>
      <c r="G61" s="1">
        <v>2800</v>
      </c>
      <c r="H61" s="1"/>
    </row>
    <row r="62" spans="1:8" x14ac:dyDescent="0.25">
      <c r="A62" t="s">
        <v>42</v>
      </c>
      <c r="B62" t="s">
        <v>5</v>
      </c>
      <c r="C62" t="str">
        <f t="shared" si="8"/>
        <v>S2Gas</v>
      </c>
      <c r="D62" t="s">
        <v>11</v>
      </c>
      <c r="E62" t="str">
        <f t="shared" si="9"/>
        <v>GasAbril</v>
      </c>
      <c r="F62" t="str">
        <f t="shared" si="2"/>
        <v>S2GasAbril</v>
      </c>
      <c r="G62" s="1">
        <v>1200</v>
      </c>
      <c r="H62" s="1"/>
    </row>
    <row r="63" spans="1:8" x14ac:dyDescent="0.25">
      <c r="A63" t="s">
        <v>41</v>
      </c>
      <c r="B63" t="s">
        <v>6</v>
      </c>
      <c r="C63" t="str">
        <f t="shared" si="8"/>
        <v>S1Agua</v>
      </c>
      <c r="D63" t="s">
        <v>14</v>
      </c>
      <c r="E63" t="str">
        <f t="shared" si="9"/>
        <v>AguaMayo</v>
      </c>
      <c r="F63" t="str">
        <f t="shared" si="2"/>
        <v>S1AguaMayo</v>
      </c>
      <c r="G63" s="1">
        <v>1300</v>
      </c>
      <c r="H63" s="1"/>
    </row>
    <row r="64" spans="1:8" x14ac:dyDescent="0.25">
      <c r="A64" t="s">
        <v>42</v>
      </c>
      <c r="B64" t="s">
        <v>4</v>
      </c>
      <c r="C64" t="str">
        <f t="shared" si="8"/>
        <v>S2Telefono</v>
      </c>
      <c r="D64" t="s">
        <v>14</v>
      </c>
      <c r="E64" t="str">
        <f t="shared" si="9"/>
        <v>TelefonoMayo</v>
      </c>
      <c r="F64" t="str">
        <f t="shared" si="2"/>
        <v>S2TelefonoMayo</v>
      </c>
      <c r="G64" s="1">
        <v>3455</v>
      </c>
      <c r="H64" s="1"/>
    </row>
    <row r="65" spans="1:8" x14ac:dyDescent="0.25">
      <c r="A65" t="s">
        <v>42</v>
      </c>
      <c r="B65" t="s">
        <v>3</v>
      </c>
      <c r="C65" t="str">
        <f t="shared" si="8"/>
        <v>S2Luz</v>
      </c>
      <c r="D65" t="s">
        <v>14</v>
      </c>
      <c r="E65" t="str">
        <f t="shared" si="9"/>
        <v>LuzMayo</v>
      </c>
      <c r="F65" t="str">
        <f t="shared" si="2"/>
        <v>S2LuzMayo</v>
      </c>
      <c r="G65" s="1">
        <v>6500</v>
      </c>
      <c r="H65" s="1"/>
    </row>
    <row r="66" spans="1:8" x14ac:dyDescent="0.25">
      <c r="A66" t="s">
        <v>41</v>
      </c>
      <c r="B66" t="s">
        <v>3</v>
      </c>
      <c r="C66" t="str">
        <f>CONCATENATE(A66,B66)</f>
        <v>S1Luz</v>
      </c>
      <c r="D66" t="s">
        <v>8</v>
      </c>
      <c r="E66" t="str">
        <f>CONCATENATE(B66,D66)</f>
        <v>LuzEnero</v>
      </c>
      <c r="F66" t="str">
        <f t="shared" si="2"/>
        <v>S1LuzEnero</v>
      </c>
      <c r="G66" s="1">
        <v>2500</v>
      </c>
      <c r="H66" s="1"/>
    </row>
    <row r="67" spans="1:8" x14ac:dyDescent="0.25">
      <c r="A67" t="s">
        <v>42</v>
      </c>
      <c r="B67" t="s">
        <v>3</v>
      </c>
      <c r="C67" t="str">
        <f t="shared" ref="C67:C86" si="10">CONCATENATE(A67,B67)</f>
        <v>S2Luz</v>
      </c>
      <c r="D67" t="s">
        <v>8</v>
      </c>
      <c r="E67" t="str">
        <f t="shared" ref="E67:E86" si="11">CONCATENATE(B67,D67)</f>
        <v>LuzEnero</v>
      </c>
      <c r="F67" t="str">
        <f t="shared" si="2"/>
        <v>S2LuzEnero</v>
      </c>
      <c r="G67" s="1">
        <v>3200</v>
      </c>
      <c r="H67" s="1"/>
    </row>
    <row r="68" spans="1:8" x14ac:dyDescent="0.25">
      <c r="A68" t="s">
        <v>43</v>
      </c>
      <c r="B68" t="s">
        <v>4</v>
      </c>
      <c r="C68" t="str">
        <f t="shared" si="10"/>
        <v>S3Telefono</v>
      </c>
      <c r="D68" t="s">
        <v>8</v>
      </c>
      <c r="E68" t="str">
        <f t="shared" si="11"/>
        <v>TelefonoEnero</v>
      </c>
      <c r="F68" t="str">
        <f t="shared" ref="F68:F131" si="12">CONCATENATE(A68,B68,D68)</f>
        <v>S3TelefonoEnero</v>
      </c>
      <c r="G68" s="1">
        <v>5200</v>
      </c>
      <c r="H68" s="1"/>
    </row>
    <row r="69" spans="1:8" x14ac:dyDescent="0.25">
      <c r="A69" t="s">
        <v>44</v>
      </c>
      <c r="B69" t="s">
        <v>5</v>
      </c>
      <c r="C69" t="str">
        <f t="shared" si="10"/>
        <v>S4Gas</v>
      </c>
      <c r="D69" t="s">
        <v>8</v>
      </c>
      <c r="E69" t="str">
        <f t="shared" si="11"/>
        <v>GasEnero</v>
      </c>
      <c r="F69" t="str">
        <f t="shared" si="12"/>
        <v>S4GasEnero</v>
      </c>
      <c r="G69" s="1">
        <v>1800</v>
      </c>
      <c r="H69" s="1"/>
    </row>
    <row r="70" spans="1:8" x14ac:dyDescent="0.25">
      <c r="A70" t="s">
        <v>45</v>
      </c>
      <c r="B70" t="s">
        <v>6</v>
      </c>
      <c r="C70" t="str">
        <f t="shared" si="10"/>
        <v>S5Agua</v>
      </c>
      <c r="D70" t="s">
        <v>9</v>
      </c>
      <c r="E70" t="str">
        <f t="shared" si="11"/>
        <v>AguaFebrero</v>
      </c>
      <c r="F70" t="str">
        <f t="shared" si="12"/>
        <v>S5AguaFebrero</v>
      </c>
      <c r="G70" s="1">
        <v>2500</v>
      </c>
      <c r="H70" s="1"/>
    </row>
    <row r="71" spans="1:8" x14ac:dyDescent="0.25">
      <c r="A71" t="s">
        <v>42</v>
      </c>
      <c r="B71" t="s">
        <v>7</v>
      </c>
      <c r="C71" t="str">
        <f t="shared" si="10"/>
        <v>S2Cable</v>
      </c>
      <c r="D71" t="s">
        <v>9</v>
      </c>
      <c r="E71" t="str">
        <f t="shared" si="11"/>
        <v>CableFebrero</v>
      </c>
      <c r="F71" t="str">
        <f t="shared" si="12"/>
        <v>S2CableFebrero</v>
      </c>
      <c r="G71" s="1">
        <v>3500</v>
      </c>
      <c r="H71" s="1"/>
    </row>
    <row r="72" spans="1:8" x14ac:dyDescent="0.25">
      <c r="A72" t="s">
        <v>43</v>
      </c>
      <c r="B72" t="s">
        <v>4</v>
      </c>
      <c r="C72" t="str">
        <f t="shared" si="10"/>
        <v>S3Telefono</v>
      </c>
      <c r="D72" t="s">
        <v>9</v>
      </c>
      <c r="E72" t="str">
        <f t="shared" si="11"/>
        <v>TelefonoFebrero</v>
      </c>
      <c r="F72" t="str">
        <f t="shared" si="12"/>
        <v>S3TelefonoFebrero</v>
      </c>
      <c r="G72" s="1">
        <v>6500</v>
      </c>
      <c r="H72" s="1"/>
    </row>
    <row r="73" spans="1:8" x14ac:dyDescent="0.25">
      <c r="A73" t="s">
        <v>41</v>
      </c>
      <c r="B73" t="s">
        <v>4</v>
      </c>
      <c r="C73" t="str">
        <f t="shared" si="10"/>
        <v>S1Telefono</v>
      </c>
      <c r="D73" t="s">
        <v>9</v>
      </c>
      <c r="E73" t="str">
        <f t="shared" si="11"/>
        <v>TelefonoFebrero</v>
      </c>
      <c r="F73" t="str">
        <f t="shared" si="12"/>
        <v>S1TelefonoFebrero</v>
      </c>
      <c r="G73" s="1">
        <v>1500</v>
      </c>
      <c r="H73" s="1"/>
    </row>
    <row r="74" spans="1:8" x14ac:dyDescent="0.25">
      <c r="A74" t="s">
        <v>42</v>
      </c>
      <c r="B74" t="s">
        <v>5</v>
      </c>
      <c r="C74" t="str">
        <f t="shared" si="10"/>
        <v>S2Gas</v>
      </c>
      <c r="D74" t="s">
        <v>10</v>
      </c>
      <c r="E74" t="str">
        <f t="shared" si="11"/>
        <v>GasMarzo</v>
      </c>
      <c r="F74" t="str">
        <f t="shared" si="12"/>
        <v>S2GasMarzo</v>
      </c>
      <c r="G74" s="1">
        <v>1800</v>
      </c>
      <c r="H74" s="1"/>
    </row>
    <row r="75" spans="1:8" x14ac:dyDescent="0.25">
      <c r="A75" t="s">
        <v>45</v>
      </c>
      <c r="B75" t="s">
        <v>6</v>
      </c>
      <c r="C75" t="str">
        <f t="shared" si="10"/>
        <v>S5Agua</v>
      </c>
      <c r="D75" t="s">
        <v>10</v>
      </c>
      <c r="E75" t="str">
        <f t="shared" si="11"/>
        <v>AguaMarzo</v>
      </c>
      <c r="F75" t="str">
        <f t="shared" si="12"/>
        <v>S5AguaMarzo</v>
      </c>
      <c r="G75" s="1">
        <v>2500</v>
      </c>
      <c r="H75" s="1"/>
    </row>
    <row r="76" spans="1:8" x14ac:dyDescent="0.25">
      <c r="A76" t="s">
        <v>43</v>
      </c>
      <c r="B76" t="s">
        <v>3</v>
      </c>
      <c r="C76" t="str">
        <f t="shared" si="10"/>
        <v>S3Luz</v>
      </c>
      <c r="D76" t="s">
        <v>10</v>
      </c>
      <c r="E76" t="str">
        <f t="shared" si="11"/>
        <v>LuzMarzo</v>
      </c>
      <c r="F76" t="str">
        <f t="shared" si="12"/>
        <v>S3LuzMarzo</v>
      </c>
      <c r="G76" s="1">
        <v>2900</v>
      </c>
      <c r="H76" s="1"/>
    </row>
    <row r="77" spans="1:8" x14ac:dyDescent="0.25">
      <c r="A77" t="s">
        <v>42</v>
      </c>
      <c r="B77" t="s">
        <v>3</v>
      </c>
      <c r="C77" t="str">
        <f t="shared" si="10"/>
        <v>S2Luz</v>
      </c>
      <c r="D77" t="s">
        <v>10</v>
      </c>
      <c r="E77" t="str">
        <f t="shared" si="11"/>
        <v>LuzMarzo</v>
      </c>
      <c r="F77" t="str">
        <f t="shared" si="12"/>
        <v>S2LuzMarzo</v>
      </c>
      <c r="G77" s="1">
        <v>3400</v>
      </c>
      <c r="H77" s="1"/>
    </row>
    <row r="78" spans="1:8" x14ac:dyDescent="0.25">
      <c r="A78" t="s">
        <v>41</v>
      </c>
      <c r="B78" t="s">
        <v>7</v>
      </c>
      <c r="C78" t="str">
        <f t="shared" si="10"/>
        <v>S1Cable</v>
      </c>
      <c r="D78" t="s">
        <v>11</v>
      </c>
      <c r="E78" t="str">
        <f t="shared" si="11"/>
        <v>CableAbril</v>
      </c>
      <c r="F78" t="str">
        <f t="shared" si="12"/>
        <v>S1CableAbril</v>
      </c>
      <c r="G78" s="1">
        <v>5002</v>
      </c>
      <c r="H78" s="1"/>
    </row>
    <row r="79" spans="1:8" x14ac:dyDescent="0.25">
      <c r="A79" t="s">
        <v>42</v>
      </c>
      <c r="B79" t="s">
        <v>5</v>
      </c>
      <c r="C79" t="str">
        <f t="shared" si="10"/>
        <v>S2Gas</v>
      </c>
      <c r="D79" t="s">
        <v>11</v>
      </c>
      <c r="E79" t="str">
        <f t="shared" si="11"/>
        <v>GasAbril</v>
      </c>
      <c r="F79" t="str">
        <f t="shared" si="12"/>
        <v>S2GasAbril</v>
      </c>
      <c r="G79" s="1">
        <v>4005</v>
      </c>
      <c r="H79" s="1"/>
    </row>
    <row r="80" spans="1:8" x14ac:dyDescent="0.25">
      <c r="A80" t="s">
        <v>43</v>
      </c>
      <c r="B80" t="s">
        <v>3</v>
      </c>
      <c r="C80" t="str">
        <f t="shared" si="10"/>
        <v>S3Luz</v>
      </c>
      <c r="D80" t="s">
        <v>14</v>
      </c>
      <c r="E80" t="str">
        <f t="shared" si="11"/>
        <v>LuzMayo</v>
      </c>
      <c r="F80" t="str">
        <f t="shared" si="12"/>
        <v>S3LuzMayo</v>
      </c>
      <c r="G80" s="1">
        <v>5200</v>
      </c>
      <c r="H80" s="1"/>
    </row>
    <row r="81" spans="1:8" x14ac:dyDescent="0.25">
      <c r="A81" t="s">
        <v>42</v>
      </c>
      <c r="B81" t="s">
        <v>4</v>
      </c>
      <c r="C81" t="str">
        <f t="shared" si="10"/>
        <v>S2Telefono</v>
      </c>
      <c r="D81" t="s">
        <v>16</v>
      </c>
      <c r="E81" t="str">
        <f t="shared" si="11"/>
        <v>TelefonoJunio</v>
      </c>
      <c r="F81" t="str">
        <f t="shared" si="12"/>
        <v>S2TelefonoJunio</v>
      </c>
      <c r="G81" s="1">
        <v>3500</v>
      </c>
      <c r="H81" s="1"/>
    </row>
    <row r="82" spans="1:8" x14ac:dyDescent="0.25">
      <c r="A82" t="s">
        <v>42</v>
      </c>
      <c r="B82" t="s">
        <v>7</v>
      </c>
      <c r="C82" t="str">
        <f t="shared" si="10"/>
        <v>S2Cable</v>
      </c>
      <c r="D82" t="s">
        <v>17</v>
      </c>
      <c r="E82" t="str">
        <f t="shared" si="11"/>
        <v>CableJulio</v>
      </c>
      <c r="F82" t="str">
        <f t="shared" si="12"/>
        <v>S2CableJulio</v>
      </c>
      <c r="G82" s="1">
        <v>2800</v>
      </c>
      <c r="H82" s="1"/>
    </row>
    <row r="83" spans="1:8" x14ac:dyDescent="0.25">
      <c r="A83" t="s">
        <v>45</v>
      </c>
      <c r="B83" t="s">
        <v>5</v>
      </c>
      <c r="C83" t="str">
        <f t="shared" si="10"/>
        <v>S5Gas</v>
      </c>
      <c r="D83" t="s">
        <v>18</v>
      </c>
      <c r="E83" t="str">
        <f t="shared" si="11"/>
        <v>GasAgosto</v>
      </c>
      <c r="F83" t="str">
        <f t="shared" si="12"/>
        <v>S5GasAgosto</v>
      </c>
      <c r="G83" s="1">
        <v>1200</v>
      </c>
      <c r="H83" s="1"/>
    </row>
    <row r="84" spans="1:8" x14ac:dyDescent="0.25">
      <c r="A84" t="s">
        <v>45</v>
      </c>
      <c r="B84" t="s">
        <v>6</v>
      </c>
      <c r="C84" t="str">
        <f t="shared" si="10"/>
        <v>S5Agua</v>
      </c>
      <c r="D84" t="s">
        <v>19</v>
      </c>
      <c r="E84" t="str">
        <f t="shared" si="11"/>
        <v>AguaSeptiembre</v>
      </c>
      <c r="F84" t="str">
        <f t="shared" si="12"/>
        <v>S5AguaSeptiembre</v>
      </c>
      <c r="G84" s="1">
        <v>1300</v>
      </c>
      <c r="H84" s="1"/>
    </row>
    <row r="85" spans="1:8" x14ac:dyDescent="0.25">
      <c r="A85" t="s">
        <v>45</v>
      </c>
      <c r="B85" t="s">
        <v>4</v>
      </c>
      <c r="C85" t="str">
        <f t="shared" si="10"/>
        <v>S5Telefono</v>
      </c>
      <c r="D85" t="s">
        <v>20</v>
      </c>
      <c r="E85" t="str">
        <f t="shared" si="11"/>
        <v>TelefonoOctubre</v>
      </c>
      <c r="F85" t="str">
        <f t="shared" si="12"/>
        <v>S5TelefonoOctubre</v>
      </c>
      <c r="G85" s="1">
        <v>3455</v>
      </c>
      <c r="H85" s="1"/>
    </row>
    <row r="86" spans="1:8" x14ac:dyDescent="0.25">
      <c r="A86" t="s">
        <v>45</v>
      </c>
      <c r="B86" t="s">
        <v>3</v>
      </c>
      <c r="C86" t="str">
        <f t="shared" si="10"/>
        <v>S5Luz</v>
      </c>
      <c r="D86" t="s">
        <v>21</v>
      </c>
      <c r="E86" t="str">
        <f t="shared" si="11"/>
        <v>LuzNoviembre</v>
      </c>
      <c r="F86" t="str">
        <f t="shared" si="12"/>
        <v>S5LuzNoviembre</v>
      </c>
      <c r="G86" s="1">
        <v>6500</v>
      </c>
      <c r="H86" s="1"/>
    </row>
    <row r="87" spans="1:8" x14ac:dyDescent="0.25">
      <c r="A87" t="s">
        <v>42</v>
      </c>
      <c r="B87" t="s">
        <v>3</v>
      </c>
      <c r="C87" t="str">
        <f>CONCATENATE(A87,B87)</f>
        <v>S2Luz</v>
      </c>
      <c r="D87" t="s">
        <v>8</v>
      </c>
      <c r="E87" t="str">
        <f>CONCATENATE(B87,D87)</f>
        <v>LuzEnero</v>
      </c>
      <c r="F87" t="str">
        <f t="shared" si="12"/>
        <v>S2LuzEnero</v>
      </c>
      <c r="G87" s="1">
        <v>2500</v>
      </c>
      <c r="H87" s="1"/>
    </row>
    <row r="88" spans="1:8" x14ac:dyDescent="0.25">
      <c r="A88" t="s">
        <v>41</v>
      </c>
      <c r="B88" t="s">
        <v>3</v>
      </c>
      <c r="C88" t="str">
        <f t="shared" ref="C88:C107" si="13">CONCATENATE(A88,B88)</f>
        <v>S1Luz</v>
      </c>
      <c r="D88" t="s">
        <v>9</v>
      </c>
      <c r="E88" t="str">
        <f t="shared" ref="E88:E107" si="14">CONCATENATE(B88,D88)</f>
        <v>LuzFebrero</v>
      </c>
      <c r="F88" t="str">
        <f t="shared" si="12"/>
        <v>S1LuzFebrero</v>
      </c>
      <c r="G88" s="1">
        <v>3200</v>
      </c>
      <c r="H88" s="1"/>
    </row>
    <row r="89" spans="1:8" x14ac:dyDescent="0.25">
      <c r="A89" t="s">
        <v>42</v>
      </c>
      <c r="B89" t="s">
        <v>4</v>
      </c>
      <c r="C89" t="str">
        <f t="shared" si="13"/>
        <v>S2Telefono</v>
      </c>
      <c r="D89" t="s">
        <v>10</v>
      </c>
      <c r="E89" t="str">
        <f t="shared" si="14"/>
        <v>TelefonoMarzo</v>
      </c>
      <c r="F89" t="str">
        <f t="shared" si="12"/>
        <v>S2TelefonoMarzo</v>
      </c>
      <c r="G89" s="1">
        <v>5200</v>
      </c>
      <c r="H89" s="1"/>
    </row>
    <row r="90" spans="1:8" x14ac:dyDescent="0.25">
      <c r="A90" t="s">
        <v>43</v>
      </c>
      <c r="B90" t="s">
        <v>5</v>
      </c>
      <c r="C90" t="str">
        <f t="shared" si="13"/>
        <v>S3Gas</v>
      </c>
      <c r="D90" t="s">
        <v>11</v>
      </c>
      <c r="E90" t="str">
        <f t="shared" si="14"/>
        <v>GasAbril</v>
      </c>
      <c r="F90" t="str">
        <f t="shared" si="12"/>
        <v>S3GasAbril</v>
      </c>
      <c r="G90" s="1">
        <v>1800</v>
      </c>
      <c r="H90" s="1"/>
    </row>
    <row r="91" spans="1:8" x14ac:dyDescent="0.25">
      <c r="A91" t="s">
        <v>42</v>
      </c>
      <c r="B91" t="s">
        <v>6</v>
      </c>
      <c r="C91" t="str">
        <f t="shared" si="13"/>
        <v>S2Agua</v>
      </c>
      <c r="D91" t="s">
        <v>14</v>
      </c>
      <c r="E91" t="str">
        <f t="shared" si="14"/>
        <v>AguaMayo</v>
      </c>
      <c r="F91" t="str">
        <f t="shared" si="12"/>
        <v>S2AguaMayo</v>
      </c>
      <c r="G91" s="1">
        <v>2500</v>
      </c>
      <c r="H91" s="1"/>
    </row>
    <row r="92" spans="1:8" x14ac:dyDescent="0.25">
      <c r="A92" t="s">
        <v>42</v>
      </c>
      <c r="B92" t="s">
        <v>7</v>
      </c>
      <c r="C92" t="str">
        <f t="shared" si="13"/>
        <v>S2Cable</v>
      </c>
      <c r="D92" t="s">
        <v>16</v>
      </c>
      <c r="E92" t="str">
        <f t="shared" si="14"/>
        <v>CableJunio</v>
      </c>
      <c r="F92" t="str">
        <f t="shared" si="12"/>
        <v>S2CableJunio</v>
      </c>
      <c r="G92" s="1">
        <v>3500</v>
      </c>
      <c r="H92" s="1"/>
    </row>
    <row r="93" spans="1:8" x14ac:dyDescent="0.25">
      <c r="A93" t="s">
        <v>43</v>
      </c>
      <c r="B93" t="s">
        <v>4</v>
      </c>
      <c r="C93" t="str">
        <f t="shared" si="13"/>
        <v>S3Telefono</v>
      </c>
      <c r="D93" t="s">
        <v>17</v>
      </c>
      <c r="E93" t="str">
        <f t="shared" si="14"/>
        <v>TelefonoJulio</v>
      </c>
      <c r="F93" t="str">
        <f t="shared" si="12"/>
        <v>S3TelefonoJulio</v>
      </c>
      <c r="G93" s="1">
        <v>6500</v>
      </c>
      <c r="H93" s="1"/>
    </row>
    <row r="94" spans="1:8" x14ac:dyDescent="0.25">
      <c r="A94" t="s">
        <v>41</v>
      </c>
      <c r="B94" t="s">
        <v>4</v>
      </c>
      <c r="C94" t="str">
        <f t="shared" si="13"/>
        <v>S1Telefono</v>
      </c>
      <c r="D94" t="s">
        <v>18</v>
      </c>
      <c r="E94" t="str">
        <f t="shared" si="14"/>
        <v>TelefonoAgosto</v>
      </c>
      <c r="F94" t="str">
        <f t="shared" si="12"/>
        <v>S1TelefonoAgosto</v>
      </c>
      <c r="G94" s="1">
        <v>1500</v>
      </c>
      <c r="H94" s="1"/>
    </row>
    <row r="95" spans="1:8" x14ac:dyDescent="0.25">
      <c r="A95" t="s">
        <v>42</v>
      </c>
      <c r="B95" t="s">
        <v>5</v>
      </c>
      <c r="C95" t="str">
        <f t="shared" si="13"/>
        <v>S2Gas</v>
      </c>
      <c r="D95" t="s">
        <v>19</v>
      </c>
      <c r="E95" t="str">
        <f t="shared" si="14"/>
        <v>GasSeptiembre</v>
      </c>
      <c r="F95" t="str">
        <f t="shared" si="12"/>
        <v>S2GasSeptiembre</v>
      </c>
      <c r="G95" s="1">
        <v>1800</v>
      </c>
      <c r="H95" s="1"/>
    </row>
    <row r="96" spans="1:8" x14ac:dyDescent="0.25">
      <c r="A96" t="s">
        <v>45</v>
      </c>
      <c r="B96" t="s">
        <v>6</v>
      </c>
      <c r="C96" t="str">
        <f t="shared" si="13"/>
        <v>S5Agua</v>
      </c>
      <c r="D96" t="s">
        <v>20</v>
      </c>
      <c r="E96" t="str">
        <f t="shared" si="14"/>
        <v>AguaOctubre</v>
      </c>
      <c r="F96" t="str">
        <f t="shared" si="12"/>
        <v>S5AguaOctubre</v>
      </c>
      <c r="G96" s="1">
        <v>2500</v>
      </c>
      <c r="H96" s="1"/>
    </row>
    <row r="97" spans="1:8" x14ac:dyDescent="0.25">
      <c r="A97" t="s">
        <v>43</v>
      </c>
      <c r="B97" t="s">
        <v>3</v>
      </c>
      <c r="C97" t="str">
        <f t="shared" si="13"/>
        <v>S3Luz</v>
      </c>
      <c r="D97" t="s">
        <v>21</v>
      </c>
      <c r="E97" t="str">
        <f t="shared" si="14"/>
        <v>LuzNoviembre</v>
      </c>
      <c r="F97" t="str">
        <f t="shared" si="12"/>
        <v>S3LuzNoviembre</v>
      </c>
      <c r="G97" s="1">
        <v>2900</v>
      </c>
      <c r="H97" s="1"/>
    </row>
    <row r="98" spans="1:8" x14ac:dyDescent="0.25">
      <c r="A98" t="s">
        <v>42</v>
      </c>
      <c r="B98" t="s">
        <v>3</v>
      </c>
      <c r="C98" t="str">
        <f t="shared" si="13"/>
        <v>S2Luz</v>
      </c>
      <c r="D98" t="s">
        <v>22</v>
      </c>
      <c r="E98" t="str">
        <f t="shared" si="14"/>
        <v>LuzDiciembre</v>
      </c>
      <c r="F98" t="str">
        <f t="shared" si="12"/>
        <v>S2LuzDiciembre</v>
      </c>
      <c r="G98" s="1">
        <v>3400</v>
      </c>
      <c r="H98" s="1"/>
    </row>
    <row r="99" spans="1:8" x14ac:dyDescent="0.25">
      <c r="A99" t="s">
        <v>41</v>
      </c>
      <c r="B99" t="s">
        <v>7</v>
      </c>
      <c r="C99" t="str">
        <f t="shared" si="13"/>
        <v>S1Cable</v>
      </c>
      <c r="D99" t="s">
        <v>8</v>
      </c>
      <c r="E99" t="str">
        <f t="shared" si="14"/>
        <v>CableEnero</v>
      </c>
      <c r="F99" t="str">
        <f t="shared" si="12"/>
        <v>S1CableEnero</v>
      </c>
      <c r="G99" s="1">
        <v>5002</v>
      </c>
      <c r="H99" s="1"/>
    </row>
    <row r="100" spans="1:8" x14ac:dyDescent="0.25">
      <c r="A100" t="s">
        <v>42</v>
      </c>
      <c r="B100" t="s">
        <v>5</v>
      </c>
      <c r="C100" t="str">
        <f t="shared" si="13"/>
        <v>S2Gas</v>
      </c>
      <c r="D100" t="s">
        <v>9</v>
      </c>
      <c r="E100" t="str">
        <f t="shared" si="14"/>
        <v>GasFebrero</v>
      </c>
      <c r="F100" t="str">
        <f t="shared" si="12"/>
        <v>S2GasFebrero</v>
      </c>
      <c r="G100" s="1">
        <v>4005</v>
      </c>
      <c r="H100" s="1"/>
    </row>
    <row r="101" spans="1:8" x14ac:dyDescent="0.25">
      <c r="A101" t="s">
        <v>43</v>
      </c>
      <c r="B101" t="s">
        <v>3</v>
      </c>
      <c r="C101" t="str">
        <f t="shared" si="13"/>
        <v>S3Luz</v>
      </c>
      <c r="D101" t="s">
        <v>10</v>
      </c>
      <c r="E101" t="str">
        <f t="shared" si="14"/>
        <v>LuzMarzo</v>
      </c>
      <c r="F101" t="str">
        <f t="shared" si="12"/>
        <v>S3LuzMarzo</v>
      </c>
      <c r="G101" s="1">
        <v>5200</v>
      </c>
      <c r="H101" s="1"/>
    </row>
    <row r="102" spans="1:8" x14ac:dyDescent="0.25">
      <c r="A102" t="s">
        <v>44</v>
      </c>
      <c r="B102" t="s">
        <v>4</v>
      </c>
      <c r="C102" t="str">
        <f t="shared" si="13"/>
        <v>S4Telefono</v>
      </c>
      <c r="D102" t="s">
        <v>11</v>
      </c>
      <c r="E102" t="str">
        <f t="shared" si="14"/>
        <v>TelefonoAbril</v>
      </c>
      <c r="F102" t="str">
        <f t="shared" si="12"/>
        <v>S4TelefonoAbril</v>
      </c>
      <c r="G102" s="1">
        <v>3500</v>
      </c>
      <c r="H102" s="1"/>
    </row>
    <row r="103" spans="1:8" x14ac:dyDescent="0.25">
      <c r="A103" t="s">
        <v>45</v>
      </c>
      <c r="B103" t="s">
        <v>7</v>
      </c>
      <c r="C103" t="str">
        <f t="shared" si="13"/>
        <v>S5Cable</v>
      </c>
      <c r="D103" t="s">
        <v>14</v>
      </c>
      <c r="E103" t="str">
        <f t="shared" si="14"/>
        <v>CableMayo</v>
      </c>
      <c r="F103" t="str">
        <f t="shared" si="12"/>
        <v>S5CableMayo</v>
      </c>
      <c r="G103" s="1">
        <v>2800</v>
      </c>
      <c r="H103" s="1"/>
    </row>
    <row r="104" spans="1:8" x14ac:dyDescent="0.25">
      <c r="A104" t="s">
        <v>42</v>
      </c>
      <c r="B104" t="s">
        <v>5</v>
      </c>
      <c r="C104" t="str">
        <f t="shared" si="13"/>
        <v>S2Gas</v>
      </c>
      <c r="D104" t="s">
        <v>16</v>
      </c>
      <c r="E104" t="str">
        <f t="shared" si="14"/>
        <v>GasJunio</v>
      </c>
      <c r="F104" t="str">
        <f t="shared" si="12"/>
        <v>S2GasJunio</v>
      </c>
      <c r="G104" s="1">
        <v>1200</v>
      </c>
      <c r="H104" s="1"/>
    </row>
    <row r="105" spans="1:8" x14ac:dyDescent="0.25">
      <c r="A105" t="s">
        <v>41</v>
      </c>
      <c r="B105" t="s">
        <v>6</v>
      </c>
      <c r="C105" t="str">
        <f t="shared" si="13"/>
        <v>S1Agua</v>
      </c>
      <c r="D105" t="s">
        <v>17</v>
      </c>
      <c r="E105" t="str">
        <f t="shared" si="14"/>
        <v>AguaJulio</v>
      </c>
      <c r="F105" t="str">
        <f t="shared" si="12"/>
        <v>S1AguaJulio</v>
      </c>
      <c r="G105" s="1">
        <v>1300</v>
      </c>
      <c r="H105" s="1"/>
    </row>
    <row r="106" spans="1:8" x14ac:dyDescent="0.25">
      <c r="A106" t="s">
        <v>42</v>
      </c>
      <c r="B106" t="s">
        <v>4</v>
      </c>
      <c r="C106" t="str">
        <f t="shared" si="13"/>
        <v>S2Telefono</v>
      </c>
      <c r="D106" t="s">
        <v>18</v>
      </c>
      <c r="E106" t="str">
        <f t="shared" si="14"/>
        <v>TelefonoAgosto</v>
      </c>
      <c r="F106" t="str">
        <f t="shared" si="12"/>
        <v>S2TelefonoAgosto</v>
      </c>
      <c r="G106" s="1">
        <v>3455</v>
      </c>
      <c r="H106" s="1"/>
    </row>
    <row r="107" spans="1:8" x14ac:dyDescent="0.25">
      <c r="A107" t="s">
        <v>42</v>
      </c>
      <c r="B107" t="s">
        <v>3</v>
      </c>
      <c r="C107" t="str">
        <f t="shared" si="13"/>
        <v>S2Luz</v>
      </c>
      <c r="D107" t="s">
        <v>19</v>
      </c>
      <c r="E107" t="str">
        <f t="shared" si="14"/>
        <v>LuzSeptiembre</v>
      </c>
      <c r="F107" t="str">
        <f t="shared" si="12"/>
        <v>S2LuzSeptiembre</v>
      </c>
      <c r="G107" s="1">
        <v>6500</v>
      </c>
      <c r="H107" s="1"/>
    </row>
    <row r="108" spans="1:8" x14ac:dyDescent="0.25">
      <c r="A108" t="s">
        <v>41</v>
      </c>
      <c r="B108" t="s">
        <v>3</v>
      </c>
      <c r="C108" t="str">
        <f>CONCATENATE(A108,B108)</f>
        <v>S1Luz</v>
      </c>
      <c r="D108" t="s">
        <v>20</v>
      </c>
      <c r="E108" t="str">
        <f>CONCATENATE(B108,D108)</f>
        <v>LuzOctubre</v>
      </c>
      <c r="F108" t="str">
        <f t="shared" si="12"/>
        <v>S1LuzOctubre</v>
      </c>
      <c r="G108" s="1">
        <v>2500</v>
      </c>
      <c r="H108" s="1"/>
    </row>
    <row r="109" spans="1:8" x14ac:dyDescent="0.25">
      <c r="A109" t="s">
        <v>41</v>
      </c>
      <c r="B109" t="s">
        <v>3</v>
      </c>
      <c r="C109" t="str">
        <f t="shared" ref="C109:C128" si="15">CONCATENATE(A109,B109)</f>
        <v>S1Luz</v>
      </c>
      <c r="D109" t="s">
        <v>21</v>
      </c>
      <c r="E109" t="str">
        <f t="shared" ref="E109:E128" si="16">CONCATENATE(B109,D109)</f>
        <v>LuzNoviembre</v>
      </c>
      <c r="F109" t="str">
        <f t="shared" si="12"/>
        <v>S1LuzNoviembre</v>
      </c>
      <c r="G109" s="1">
        <v>3200</v>
      </c>
      <c r="H109" s="1"/>
    </row>
    <row r="110" spans="1:8" x14ac:dyDescent="0.25">
      <c r="A110" t="s">
        <v>42</v>
      </c>
      <c r="B110" t="s">
        <v>4</v>
      </c>
      <c r="C110" t="str">
        <f t="shared" si="15"/>
        <v>S2Telefono</v>
      </c>
      <c r="D110" t="s">
        <v>22</v>
      </c>
      <c r="E110" t="str">
        <f t="shared" si="16"/>
        <v>TelefonoDiciembre</v>
      </c>
      <c r="F110" t="str">
        <f t="shared" si="12"/>
        <v>S2TelefonoDiciembre</v>
      </c>
      <c r="G110" s="1">
        <v>5200</v>
      </c>
      <c r="H110" s="1"/>
    </row>
    <row r="111" spans="1:8" x14ac:dyDescent="0.25">
      <c r="A111" t="s">
        <v>43</v>
      </c>
      <c r="B111" t="s">
        <v>5</v>
      </c>
      <c r="C111" t="str">
        <f t="shared" si="15"/>
        <v>S3Gas</v>
      </c>
      <c r="D111" t="s">
        <v>8</v>
      </c>
      <c r="E111" t="str">
        <f t="shared" si="16"/>
        <v>GasEnero</v>
      </c>
      <c r="F111" t="str">
        <f t="shared" si="12"/>
        <v>S3GasEnero</v>
      </c>
      <c r="G111" s="1">
        <v>1800</v>
      </c>
      <c r="H111" s="1"/>
    </row>
    <row r="112" spans="1:8" x14ac:dyDescent="0.25">
      <c r="A112" t="s">
        <v>44</v>
      </c>
      <c r="B112" t="s">
        <v>6</v>
      </c>
      <c r="C112" t="str">
        <f t="shared" si="15"/>
        <v>S4Agua</v>
      </c>
      <c r="D112" t="s">
        <v>9</v>
      </c>
      <c r="E112" t="str">
        <f t="shared" si="16"/>
        <v>AguaFebrero</v>
      </c>
      <c r="F112" t="str">
        <f t="shared" si="12"/>
        <v>S4AguaFebrero</v>
      </c>
      <c r="G112" s="1">
        <v>2500</v>
      </c>
      <c r="H112" s="1"/>
    </row>
    <row r="113" spans="1:8" x14ac:dyDescent="0.25">
      <c r="A113" t="s">
        <v>42</v>
      </c>
      <c r="B113" t="s">
        <v>7</v>
      </c>
      <c r="C113" t="str">
        <f t="shared" si="15"/>
        <v>S2Cable</v>
      </c>
      <c r="D113" t="s">
        <v>10</v>
      </c>
      <c r="E113" t="str">
        <f t="shared" si="16"/>
        <v>CableMarzo</v>
      </c>
      <c r="F113" t="str">
        <f t="shared" si="12"/>
        <v>S2CableMarzo</v>
      </c>
      <c r="G113" s="1">
        <v>3500</v>
      </c>
      <c r="H113" s="1"/>
    </row>
    <row r="114" spans="1:8" x14ac:dyDescent="0.25">
      <c r="A114" t="s">
        <v>43</v>
      </c>
      <c r="B114" t="s">
        <v>4</v>
      </c>
      <c r="C114" t="str">
        <f t="shared" si="15"/>
        <v>S3Telefono</v>
      </c>
      <c r="D114" t="s">
        <v>11</v>
      </c>
      <c r="E114" t="str">
        <f t="shared" si="16"/>
        <v>TelefonoAbril</v>
      </c>
      <c r="F114" t="str">
        <f t="shared" si="12"/>
        <v>S3TelefonoAbril</v>
      </c>
      <c r="G114" s="1">
        <v>6500</v>
      </c>
      <c r="H114" s="1"/>
    </row>
    <row r="115" spans="1:8" x14ac:dyDescent="0.25">
      <c r="A115" t="s">
        <v>41</v>
      </c>
      <c r="B115" t="s">
        <v>4</v>
      </c>
      <c r="C115" t="str">
        <f t="shared" si="15"/>
        <v>S1Telefono</v>
      </c>
      <c r="D115" t="s">
        <v>14</v>
      </c>
      <c r="E115" t="str">
        <f t="shared" si="16"/>
        <v>TelefonoMayo</v>
      </c>
      <c r="F115" t="str">
        <f t="shared" si="12"/>
        <v>S1TelefonoMayo</v>
      </c>
      <c r="G115" s="1">
        <v>1500</v>
      </c>
      <c r="H115" s="1"/>
    </row>
    <row r="116" spans="1:8" x14ac:dyDescent="0.25">
      <c r="A116" t="s">
        <v>42</v>
      </c>
      <c r="B116" t="s">
        <v>5</v>
      </c>
      <c r="C116" t="str">
        <f t="shared" si="15"/>
        <v>S2Gas</v>
      </c>
      <c r="D116" t="s">
        <v>16</v>
      </c>
      <c r="E116" t="str">
        <f t="shared" si="16"/>
        <v>GasJunio</v>
      </c>
      <c r="F116" t="str">
        <f t="shared" si="12"/>
        <v>S2GasJunio</v>
      </c>
      <c r="G116" s="1">
        <v>1800</v>
      </c>
      <c r="H116" s="1"/>
    </row>
    <row r="117" spans="1:8" x14ac:dyDescent="0.25">
      <c r="A117" t="s">
        <v>45</v>
      </c>
      <c r="B117" t="s">
        <v>6</v>
      </c>
      <c r="C117" t="str">
        <f t="shared" si="15"/>
        <v>S5Agua</v>
      </c>
      <c r="D117" t="s">
        <v>17</v>
      </c>
      <c r="E117" t="str">
        <f t="shared" si="16"/>
        <v>AguaJulio</v>
      </c>
      <c r="F117" t="str">
        <f t="shared" si="12"/>
        <v>S5AguaJulio</v>
      </c>
      <c r="G117" s="1">
        <v>2500</v>
      </c>
      <c r="H117" s="1"/>
    </row>
    <row r="118" spans="1:8" x14ac:dyDescent="0.25">
      <c r="A118" t="s">
        <v>44</v>
      </c>
      <c r="B118" t="s">
        <v>3</v>
      </c>
      <c r="C118" t="str">
        <f t="shared" si="15"/>
        <v>S4Luz</v>
      </c>
      <c r="D118" t="s">
        <v>18</v>
      </c>
      <c r="E118" t="str">
        <f t="shared" si="16"/>
        <v>LuzAgosto</v>
      </c>
      <c r="F118" t="str">
        <f t="shared" si="12"/>
        <v>S4LuzAgosto</v>
      </c>
      <c r="G118" s="1">
        <v>2900</v>
      </c>
      <c r="H118" s="1"/>
    </row>
    <row r="119" spans="1:8" x14ac:dyDescent="0.25">
      <c r="A119" t="s">
        <v>42</v>
      </c>
      <c r="B119" t="s">
        <v>3</v>
      </c>
      <c r="C119" t="str">
        <f t="shared" si="15"/>
        <v>S2Luz</v>
      </c>
      <c r="D119" t="s">
        <v>19</v>
      </c>
      <c r="E119" t="str">
        <f t="shared" si="16"/>
        <v>LuzSeptiembre</v>
      </c>
      <c r="F119" t="str">
        <f t="shared" si="12"/>
        <v>S2LuzSeptiembre</v>
      </c>
      <c r="G119" s="1">
        <v>3400</v>
      </c>
      <c r="H119" s="1"/>
    </row>
    <row r="120" spans="1:8" x14ac:dyDescent="0.25">
      <c r="A120" t="s">
        <v>41</v>
      </c>
      <c r="B120" t="s">
        <v>7</v>
      </c>
      <c r="C120" t="str">
        <f t="shared" si="15"/>
        <v>S1Cable</v>
      </c>
      <c r="D120" t="s">
        <v>20</v>
      </c>
      <c r="E120" t="str">
        <f t="shared" si="16"/>
        <v>CableOctubre</v>
      </c>
      <c r="F120" t="str">
        <f t="shared" si="12"/>
        <v>S1CableOctubre</v>
      </c>
      <c r="G120" s="1">
        <v>5002</v>
      </c>
      <c r="H120" s="1"/>
    </row>
    <row r="121" spans="1:8" x14ac:dyDescent="0.25">
      <c r="A121" t="s">
        <v>42</v>
      </c>
      <c r="B121" t="s">
        <v>5</v>
      </c>
      <c r="C121" t="str">
        <f t="shared" si="15"/>
        <v>S2Gas</v>
      </c>
      <c r="D121" t="s">
        <v>21</v>
      </c>
      <c r="E121" t="str">
        <f t="shared" si="16"/>
        <v>GasNoviembre</v>
      </c>
      <c r="F121" t="str">
        <f t="shared" si="12"/>
        <v>S2GasNoviembre</v>
      </c>
      <c r="G121" s="1">
        <v>4005</v>
      </c>
      <c r="H121" s="1"/>
    </row>
    <row r="122" spans="1:8" x14ac:dyDescent="0.25">
      <c r="A122" t="s">
        <v>43</v>
      </c>
      <c r="B122" t="s">
        <v>3</v>
      </c>
      <c r="C122" t="str">
        <f t="shared" si="15"/>
        <v>S3Luz</v>
      </c>
      <c r="D122" t="s">
        <v>22</v>
      </c>
      <c r="E122" t="str">
        <f t="shared" si="16"/>
        <v>LuzDiciembre</v>
      </c>
      <c r="F122" t="str">
        <f t="shared" si="12"/>
        <v>S3LuzDiciembre</v>
      </c>
      <c r="G122" s="1">
        <v>5200</v>
      </c>
      <c r="H122" s="1"/>
    </row>
    <row r="123" spans="1:8" x14ac:dyDescent="0.25">
      <c r="A123" t="s">
        <v>44</v>
      </c>
      <c r="B123" t="s">
        <v>4</v>
      </c>
      <c r="C123" t="str">
        <f t="shared" si="15"/>
        <v>S4Telefono</v>
      </c>
      <c r="D123" t="s">
        <v>8</v>
      </c>
      <c r="E123" t="str">
        <f t="shared" si="16"/>
        <v>TelefonoEnero</v>
      </c>
      <c r="F123" t="str">
        <f t="shared" si="12"/>
        <v>S4TelefonoEnero</v>
      </c>
      <c r="G123" s="1">
        <v>3500</v>
      </c>
      <c r="H123" s="1"/>
    </row>
    <row r="124" spans="1:8" x14ac:dyDescent="0.25">
      <c r="A124" t="s">
        <v>45</v>
      </c>
      <c r="B124" t="s">
        <v>7</v>
      </c>
      <c r="C124" t="str">
        <f t="shared" si="15"/>
        <v>S5Cable</v>
      </c>
      <c r="D124" t="s">
        <v>9</v>
      </c>
      <c r="E124" t="str">
        <f t="shared" si="16"/>
        <v>CableFebrero</v>
      </c>
      <c r="F124" t="str">
        <f t="shared" si="12"/>
        <v>S5CableFebrero</v>
      </c>
      <c r="G124" s="1">
        <v>2800</v>
      </c>
      <c r="H124" s="1"/>
    </row>
    <row r="125" spans="1:8" x14ac:dyDescent="0.25">
      <c r="A125" t="s">
        <v>42</v>
      </c>
      <c r="B125" t="s">
        <v>5</v>
      </c>
      <c r="C125" t="str">
        <f t="shared" si="15"/>
        <v>S2Gas</v>
      </c>
      <c r="D125" t="s">
        <v>10</v>
      </c>
      <c r="E125" t="str">
        <f t="shared" si="16"/>
        <v>GasMarzo</v>
      </c>
      <c r="F125" t="str">
        <f t="shared" si="12"/>
        <v>S2GasMarzo</v>
      </c>
      <c r="G125" s="1">
        <v>1200</v>
      </c>
      <c r="H125" s="1"/>
    </row>
    <row r="126" spans="1:8" x14ac:dyDescent="0.25">
      <c r="A126" t="s">
        <v>41</v>
      </c>
      <c r="B126" t="s">
        <v>6</v>
      </c>
      <c r="C126" t="str">
        <f t="shared" si="15"/>
        <v>S1Agua</v>
      </c>
      <c r="D126" t="s">
        <v>11</v>
      </c>
      <c r="E126" t="str">
        <f t="shared" si="16"/>
        <v>AguaAbril</v>
      </c>
      <c r="F126" t="str">
        <f t="shared" si="12"/>
        <v>S1AguaAbril</v>
      </c>
      <c r="G126" s="1">
        <v>1300</v>
      </c>
      <c r="H126" s="1"/>
    </row>
    <row r="127" spans="1:8" x14ac:dyDescent="0.25">
      <c r="A127" t="s">
        <v>42</v>
      </c>
      <c r="B127" t="s">
        <v>4</v>
      </c>
      <c r="C127" t="str">
        <f t="shared" si="15"/>
        <v>S2Telefono</v>
      </c>
      <c r="D127" t="s">
        <v>14</v>
      </c>
      <c r="E127" t="str">
        <f t="shared" si="16"/>
        <v>TelefonoMayo</v>
      </c>
      <c r="F127" t="str">
        <f t="shared" si="12"/>
        <v>S2TelefonoMayo</v>
      </c>
      <c r="G127" s="1">
        <v>3455</v>
      </c>
      <c r="H127" s="1"/>
    </row>
    <row r="128" spans="1:8" x14ac:dyDescent="0.25">
      <c r="A128" t="s">
        <v>42</v>
      </c>
      <c r="B128" t="s">
        <v>3</v>
      </c>
      <c r="C128" t="str">
        <f t="shared" si="15"/>
        <v>S2Luz</v>
      </c>
      <c r="D128" t="s">
        <v>16</v>
      </c>
      <c r="E128" t="str">
        <f t="shared" si="16"/>
        <v>LuzJunio</v>
      </c>
      <c r="F128" t="str">
        <f t="shared" si="12"/>
        <v>S2LuzJunio</v>
      </c>
      <c r="G128" s="1">
        <v>6500</v>
      </c>
      <c r="H128" s="1"/>
    </row>
    <row r="129" spans="1:8" x14ac:dyDescent="0.25">
      <c r="A129" t="s">
        <v>41</v>
      </c>
      <c r="B129" t="s">
        <v>3</v>
      </c>
      <c r="C129" t="str">
        <f>CONCATENATE(A129,B129)</f>
        <v>S1Luz</v>
      </c>
      <c r="D129" t="s">
        <v>8</v>
      </c>
      <c r="E129" t="str">
        <f>CONCATENATE(B129,D129)</f>
        <v>LuzEnero</v>
      </c>
      <c r="F129" t="str">
        <f t="shared" si="12"/>
        <v>S1LuzEnero</v>
      </c>
      <c r="G129" s="1">
        <v>2500</v>
      </c>
      <c r="H129" s="1"/>
    </row>
    <row r="130" spans="1:8" x14ac:dyDescent="0.25">
      <c r="A130" t="s">
        <v>41</v>
      </c>
      <c r="B130" t="s">
        <v>3</v>
      </c>
      <c r="C130" t="str">
        <f t="shared" ref="C130:C149" si="17">CONCATENATE(A130,B130)</f>
        <v>S1Luz</v>
      </c>
      <c r="D130" t="s">
        <v>9</v>
      </c>
      <c r="E130" t="str">
        <f t="shared" ref="E130:E149" si="18">CONCATENATE(B130,D130)</f>
        <v>LuzFebrero</v>
      </c>
      <c r="F130" t="str">
        <f t="shared" si="12"/>
        <v>S1LuzFebrero</v>
      </c>
      <c r="G130" s="1">
        <v>3200</v>
      </c>
      <c r="H130" s="1"/>
    </row>
    <row r="131" spans="1:8" x14ac:dyDescent="0.25">
      <c r="A131" t="s">
        <v>42</v>
      </c>
      <c r="B131" t="s">
        <v>4</v>
      </c>
      <c r="C131" t="str">
        <f t="shared" si="17"/>
        <v>S2Telefono</v>
      </c>
      <c r="D131" t="s">
        <v>10</v>
      </c>
      <c r="E131" t="str">
        <f t="shared" si="18"/>
        <v>TelefonoMarzo</v>
      </c>
      <c r="F131" t="str">
        <f t="shared" si="12"/>
        <v>S2TelefonoMarzo</v>
      </c>
      <c r="G131" s="1">
        <v>5200</v>
      </c>
      <c r="H131" s="1"/>
    </row>
    <row r="132" spans="1:8" x14ac:dyDescent="0.25">
      <c r="A132" t="s">
        <v>43</v>
      </c>
      <c r="B132" t="s">
        <v>5</v>
      </c>
      <c r="C132" t="str">
        <f t="shared" si="17"/>
        <v>S3Gas</v>
      </c>
      <c r="D132" t="s">
        <v>11</v>
      </c>
      <c r="E132" t="str">
        <f t="shared" si="18"/>
        <v>GasAbril</v>
      </c>
      <c r="F132" t="str">
        <f t="shared" ref="F132:F195" si="19">CONCATENATE(A132,B132,D132)</f>
        <v>S3GasAbril</v>
      </c>
      <c r="G132" s="1">
        <v>1800</v>
      </c>
      <c r="H132" s="1"/>
    </row>
    <row r="133" spans="1:8" x14ac:dyDescent="0.25">
      <c r="A133" t="s">
        <v>44</v>
      </c>
      <c r="B133" t="s">
        <v>6</v>
      </c>
      <c r="C133" t="str">
        <f t="shared" si="17"/>
        <v>S4Agua</v>
      </c>
      <c r="D133" t="s">
        <v>14</v>
      </c>
      <c r="E133" t="str">
        <f t="shared" si="18"/>
        <v>AguaMayo</v>
      </c>
      <c r="F133" t="str">
        <f t="shared" si="19"/>
        <v>S4AguaMayo</v>
      </c>
      <c r="G133" s="1">
        <v>2500</v>
      </c>
      <c r="H133" s="1"/>
    </row>
    <row r="134" spans="1:8" x14ac:dyDescent="0.25">
      <c r="A134" t="s">
        <v>42</v>
      </c>
      <c r="B134" t="s">
        <v>7</v>
      </c>
      <c r="C134" t="str">
        <f t="shared" si="17"/>
        <v>S2Cable</v>
      </c>
      <c r="D134" t="s">
        <v>16</v>
      </c>
      <c r="E134" t="str">
        <f t="shared" si="18"/>
        <v>CableJunio</v>
      </c>
      <c r="F134" t="str">
        <f t="shared" si="19"/>
        <v>S2CableJunio</v>
      </c>
      <c r="G134" s="1">
        <v>3500</v>
      </c>
      <c r="H134" s="1"/>
    </row>
    <row r="135" spans="1:8" x14ac:dyDescent="0.25">
      <c r="A135" t="s">
        <v>43</v>
      </c>
      <c r="B135" t="s">
        <v>4</v>
      </c>
      <c r="C135" t="str">
        <f t="shared" si="17"/>
        <v>S3Telefono</v>
      </c>
      <c r="D135" t="s">
        <v>17</v>
      </c>
      <c r="E135" t="str">
        <f t="shared" si="18"/>
        <v>TelefonoJulio</v>
      </c>
      <c r="F135" t="str">
        <f t="shared" si="19"/>
        <v>S3TelefonoJulio</v>
      </c>
      <c r="G135" s="1">
        <v>6500</v>
      </c>
      <c r="H135" s="1"/>
    </row>
    <row r="136" spans="1:8" x14ac:dyDescent="0.25">
      <c r="A136" t="s">
        <v>41</v>
      </c>
      <c r="B136" t="s">
        <v>4</v>
      </c>
      <c r="C136" t="str">
        <f t="shared" si="17"/>
        <v>S1Telefono</v>
      </c>
      <c r="D136" t="s">
        <v>18</v>
      </c>
      <c r="E136" t="str">
        <f t="shared" si="18"/>
        <v>TelefonoAgosto</v>
      </c>
      <c r="F136" t="str">
        <f t="shared" si="19"/>
        <v>S1TelefonoAgosto</v>
      </c>
      <c r="G136" s="1">
        <v>1500</v>
      </c>
      <c r="H136" s="1"/>
    </row>
    <row r="137" spans="1:8" x14ac:dyDescent="0.25">
      <c r="A137" t="s">
        <v>42</v>
      </c>
      <c r="B137" t="s">
        <v>5</v>
      </c>
      <c r="C137" t="str">
        <f t="shared" si="17"/>
        <v>S2Gas</v>
      </c>
      <c r="D137" t="s">
        <v>19</v>
      </c>
      <c r="E137" t="str">
        <f t="shared" si="18"/>
        <v>GasSeptiembre</v>
      </c>
      <c r="F137" t="str">
        <f t="shared" si="19"/>
        <v>S2GasSeptiembre</v>
      </c>
      <c r="G137" s="1">
        <v>1800</v>
      </c>
      <c r="H137" s="1"/>
    </row>
    <row r="138" spans="1:8" x14ac:dyDescent="0.25">
      <c r="A138" t="s">
        <v>45</v>
      </c>
      <c r="B138" t="s">
        <v>6</v>
      </c>
      <c r="C138" t="str">
        <f t="shared" si="17"/>
        <v>S5Agua</v>
      </c>
      <c r="D138" t="s">
        <v>20</v>
      </c>
      <c r="E138" t="str">
        <f t="shared" si="18"/>
        <v>AguaOctubre</v>
      </c>
      <c r="F138" t="str">
        <f t="shared" si="19"/>
        <v>S5AguaOctubre</v>
      </c>
      <c r="G138" s="1">
        <v>2500</v>
      </c>
      <c r="H138" s="1"/>
    </row>
    <row r="139" spans="1:8" x14ac:dyDescent="0.25">
      <c r="A139" t="s">
        <v>43</v>
      </c>
      <c r="B139" t="s">
        <v>3</v>
      </c>
      <c r="C139" t="str">
        <f t="shared" si="17"/>
        <v>S3Luz</v>
      </c>
      <c r="D139" t="s">
        <v>21</v>
      </c>
      <c r="E139" t="str">
        <f t="shared" si="18"/>
        <v>LuzNoviembre</v>
      </c>
      <c r="F139" t="str">
        <f t="shared" si="19"/>
        <v>S3LuzNoviembre</v>
      </c>
      <c r="G139" s="1">
        <v>2900</v>
      </c>
      <c r="H139" s="1"/>
    </row>
    <row r="140" spans="1:8" x14ac:dyDescent="0.25">
      <c r="A140" t="s">
        <v>42</v>
      </c>
      <c r="B140" t="s">
        <v>3</v>
      </c>
      <c r="C140" t="str">
        <f t="shared" si="17"/>
        <v>S2Luz</v>
      </c>
      <c r="D140" t="s">
        <v>22</v>
      </c>
      <c r="E140" t="str">
        <f t="shared" si="18"/>
        <v>LuzDiciembre</v>
      </c>
      <c r="F140" t="str">
        <f t="shared" si="19"/>
        <v>S2LuzDiciembre</v>
      </c>
      <c r="G140" s="1">
        <v>3400</v>
      </c>
      <c r="H140" s="1"/>
    </row>
    <row r="141" spans="1:8" x14ac:dyDescent="0.25">
      <c r="A141" t="s">
        <v>41</v>
      </c>
      <c r="B141" t="s">
        <v>7</v>
      </c>
      <c r="C141" t="str">
        <f t="shared" si="17"/>
        <v>S1Cable</v>
      </c>
      <c r="D141" t="s">
        <v>8</v>
      </c>
      <c r="E141" t="str">
        <f t="shared" si="18"/>
        <v>CableEnero</v>
      </c>
      <c r="F141" t="str">
        <f t="shared" si="19"/>
        <v>S1CableEnero</v>
      </c>
      <c r="G141" s="1">
        <v>5002</v>
      </c>
      <c r="H141" s="1"/>
    </row>
    <row r="142" spans="1:8" x14ac:dyDescent="0.25">
      <c r="A142" t="s">
        <v>42</v>
      </c>
      <c r="B142" t="s">
        <v>5</v>
      </c>
      <c r="C142" t="str">
        <f t="shared" si="17"/>
        <v>S2Gas</v>
      </c>
      <c r="D142" t="s">
        <v>9</v>
      </c>
      <c r="E142" t="str">
        <f t="shared" si="18"/>
        <v>GasFebrero</v>
      </c>
      <c r="F142" t="str">
        <f t="shared" si="19"/>
        <v>S2GasFebrero</v>
      </c>
      <c r="G142" s="1">
        <v>4005</v>
      </c>
      <c r="H142" s="1"/>
    </row>
    <row r="143" spans="1:8" x14ac:dyDescent="0.25">
      <c r="A143" t="s">
        <v>43</v>
      </c>
      <c r="B143" t="s">
        <v>3</v>
      </c>
      <c r="C143" t="str">
        <f t="shared" si="17"/>
        <v>S3Luz</v>
      </c>
      <c r="D143" t="s">
        <v>10</v>
      </c>
      <c r="E143" t="str">
        <f t="shared" si="18"/>
        <v>LuzMarzo</v>
      </c>
      <c r="F143" t="str">
        <f t="shared" si="19"/>
        <v>S3LuzMarzo</v>
      </c>
      <c r="G143" s="1">
        <v>5200</v>
      </c>
      <c r="H143" s="1"/>
    </row>
    <row r="144" spans="1:8" x14ac:dyDescent="0.25">
      <c r="A144" t="s">
        <v>44</v>
      </c>
      <c r="B144" t="s">
        <v>4</v>
      </c>
      <c r="C144" t="str">
        <f t="shared" si="17"/>
        <v>S4Telefono</v>
      </c>
      <c r="D144" t="s">
        <v>11</v>
      </c>
      <c r="E144" t="str">
        <f t="shared" si="18"/>
        <v>TelefonoAbril</v>
      </c>
      <c r="F144" t="str">
        <f t="shared" si="19"/>
        <v>S4TelefonoAbril</v>
      </c>
      <c r="G144" s="1">
        <v>3500</v>
      </c>
      <c r="H144" s="1"/>
    </row>
    <row r="145" spans="1:8" x14ac:dyDescent="0.25">
      <c r="A145" t="s">
        <v>45</v>
      </c>
      <c r="B145" t="s">
        <v>7</v>
      </c>
      <c r="C145" t="str">
        <f t="shared" si="17"/>
        <v>S5Cable</v>
      </c>
      <c r="D145" t="s">
        <v>14</v>
      </c>
      <c r="E145" t="str">
        <f t="shared" si="18"/>
        <v>CableMayo</v>
      </c>
      <c r="F145" t="str">
        <f t="shared" si="19"/>
        <v>S5CableMayo</v>
      </c>
      <c r="G145" s="1">
        <v>2800</v>
      </c>
      <c r="H145" s="1"/>
    </row>
    <row r="146" spans="1:8" x14ac:dyDescent="0.25">
      <c r="A146" t="s">
        <v>42</v>
      </c>
      <c r="B146" t="s">
        <v>5</v>
      </c>
      <c r="C146" t="str">
        <f t="shared" si="17"/>
        <v>S2Gas</v>
      </c>
      <c r="D146" t="s">
        <v>16</v>
      </c>
      <c r="E146" t="str">
        <f t="shared" si="18"/>
        <v>GasJunio</v>
      </c>
      <c r="F146" t="str">
        <f t="shared" si="19"/>
        <v>S2GasJunio</v>
      </c>
      <c r="G146" s="1">
        <v>1200</v>
      </c>
      <c r="H146" s="1"/>
    </row>
    <row r="147" spans="1:8" x14ac:dyDescent="0.25">
      <c r="A147" t="s">
        <v>41</v>
      </c>
      <c r="B147" t="s">
        <v>6</v>
      </c>
      <c r="C147" t="str">
        <f t="shared" si="17"/>
        <v>S1Agua</v>
      </c>
      <c r="D147" t="s">
        <v>17</v>
      </c>
      <c r="E147" t="str">
        <f t="shared" si="18"/>
        <v>AguaJulio</v>
      </c>
      <c r="F147" t="str">
        <f t="shared" si="19"/>
        <v>S1AguaJulio</v>
      </c>
      <c r="G147" s="1">
        <v>1300</v>
      </c>
      <c r="H147" s="1"/>
    </row>
    <row r="148" spans="1:8" x14ac:dyDescent="0.25">
      <c r="A148" t="s">
        <v>42</v>
      </c>
      <c r="B148" t="s">
        <v>4</v>
      </c>
      <c r="C148" t="str">
        <f t="shared" si="17"/>
        <v>S2Telefono</v>
      </c>
      <c r="D148" t="s">
        <v>18</v>
      </c>
      <c r="E148" t="str">
        <f t="shared" si="18"/>
        <v>TelefonoAgosto</v>
      </c>
      <c r="F148" t="str">
        <f t="shared" si="19"/>
        <v>S2TelefonoAgosto</v>
      </c>
      <c r="G148" s="1">
        <v>3455</v>
      </c>
      <c r="H148" s="1"/>
    </row>
    <row r="149" spans="1:8" x14ac:dyDescent="0.25">
      <c r="A149" t="s">
        <v>42</v>
      </c>
      <c r="B149" t="s">
        <v>3</v>
      </c>
      <c r="C149" t="str">
        <f t="shared" si="17"/>
        <v>S2Luz</v>
      </c>
      <c r="D149" t="s">
        <v>19</v>
      </c>
      <c r="E149" t="str">
        <f t="shared" si="18"/>
        <v>LuzSeptiembre</v>
      </c>
      <c r="F149" t="str">
        <f t="shared" si="19"/>
        <v>S2LuzSeptiembre</v>
      </c>
      <c r="G149" s="1">
        <v>6500</v>
      </c>
      <c r="H149" s="1"/>
    </row>
    <row r="150" spans="1:8" x14ac:dyDescent="0.25">
      <c r="A150" t="s">
        <v>41</v>
      </c>
      <c r="B150" t="s">
        <v>3</v>
      </c>
      <c r="C150" t="str">
        <f>CONCATENATE(A150,B150)</f>
        <v>S1Luz</v>
      </c>
      <c r="D150" t="s">
        <v>20</v>
      </c>
      <c r="E150" t="str">
        <f>CONCATENATE(B150,D150)</f>
        <v>LuzOctubre</v>
      </c>
      <c r="F150" t="str">
        <f t="shared" si="19"/>
        <v>S1LuzOctubre</v>
      </c>
      <c r="G150" s="1">
        <v>2500</v>
      </c>
      <c r="H150" s="1"/>
    </row>
    <row r="151" spans="1:8" x14ac:dyDescent="0.25">
      <c r="A151" t="s">
        <v>41</v>
      </c>
      <c r="B151" t="s">
        <v>3</v>
      </c>
      <c r="C151" t="str">
        <f t="shared" ref="C151:C170" si="20">CONCATENATE(A151,B151)</f>
        <v>S1Luz</v>
      </c>
      <c r="D151" t="s">
        <v>21</v>
      </c>
      <c r="E151" t="str">
        <f t="shared" ref="E151:E170" si="21">CONCATENATE(B151,D151)</f>
        <v>LuzNoviembre</v>
      </c>
      <c r="F151" t="str">
        <f t="shared" si="19"/>
        <v>S1LuzNoviembre</v>
      </c>
      <c r="G151" s="1">
        <v>3200</v>
      </c>
      <c r="H151" s="1"/>
    </row>
    <row r="152" spans="1:8" x14ac:dyDescent="0.25">
      <c r="A152" t="s">
        <v>42</v>
      </c>
      <c r="B152" t="s">
        <v>4</v>
      </c>
      <c r="C152" t="str">
        <f t="shared" si="20"/>
        <v>S2Telefono</v>
      </c>
      <c r="D152" t="s">
        <v>22</v>
      </c>
      <c r="E152" t="str">
        <f t="shared" si="21"/>
        <v>TelefonoDiciembre</v>
      </c>
      <c r="F152" t="str">
        <f t="shared" si="19"/>
        <v>S2TelefonoDiciembre</v>
      </c>
      <c r="G152" s="1">
        <v>5200</v>
      </c>
      <c r="H152" s="1"/>
    </row>
    <row r="153" spans="1:8" x14ac:dyDescent="0.25">
      <c r="A153" t="s">
        <v>43</v>
      </c>
      <c r="B153" t="s">
        <v>5</v>
      </c>
      <c r="C153" t="str">
        <f t="shared" si="20"/>
        <v>S3Gas</v>
      </c>
      <c r="D153" t="s">
        <v>8</v>
      </c>
      <c r="E153" t="str">
        <f t="shared" si="21"/>
        <v>GasEnero</v>
      </c>
      <c r="F153" t="str">
        <f t="shared" si="19"/>
        <v>S3GasEnero</v>
      </c>
      <c r="G153" s="1">
        <v>1800</v>
      </c>
      <c r="H153" s="1"/>
    </row>
    <row r="154" spans="1:8" x14ac:dyDescent="0.25">
      <c r="A154" t="s">
        <v>42</v>
      </c>
      <c r="B154" t="s">
        <v>6</v>
      </c>
      <c r="C154" t="str">
        <f t="shared" si="20"/>
        <v>S2Agua</v>
      </c>
      <c r="D154" t="s">
        <v>9</v>
      </c>
      <c r="E154" t="str">
        <f t="shared" si="21"/>
        <v>AguaFebrero</v>
      </c>
      <c r="F154" t="str">
        <f t="shared" si="19"/>
        <v>S2AguaFebrero</v>
      </c>
      <c r="G154" s="1">
        <v>2500</v>
      </c>
      <c r="H154" s="1"/>
    </row>
    <row r="155" spans="1:8" x14ac:dyDescent="0.25">
      <c r="A155" t="s">
        <v>42</v>
      </c>
      <c r="B155" t="s">
        <v>7</v>
      </c>
      <c r="C155" t="str">
        <f t="shared" si="20"/>
        <v>S2Cable</v>
      </c>
      <c r="D155" t="s">
        <v>10</v>
      </c>
      <c r="E155" t="str">
        <f t="shared" si="21"/>
        <v>CableMarzo</v>
      </c>
      <c r="F155" t="str">
        <f t="shared" si="19"/>
        <v>S2CableMarzo</v>
      </c>
      <c r="G155" s="1">
        <v>3500</v>
      </c>
      <c r="H155" s="1"/>
    </row>
    <row r="156" spans="1:8" x14ac:dyDescent="0.25">
      <c r="A156" t="s">
        <v>43</v>
      </c>
      <c r="B156" t="s">
        <v>4</v>
      </c>
      <c r="C156" t="str">
        <f t="shared" si="20"/>
        <v>S3Telefono</v>
      </c>
      <c r="D156" t="s">
        <v>11</v>
      </c>
      <c r="E156" t="str">
        <f t="shared" si="21"/>
        <v>TelefonoAbril</v>
      </c>
      <c r="F156" t="str">
        <f t="shared" si="19"/>
        <v>S3TelefonoAbril</v>
      </c>
      <c r="G156" s="1">
        <v>6500</v>
      </c>
      <c r="H156" s="1"/>
    </row>
    <row r="157" spans="1:8" x14ac:dyDescent="0.25">
      <c r="A157" t="s">
        <v>41</v>
      </c>
      <c r="B157" t="s">
        <v>4</v>
      </c>
      <c r="C157" t="str">
        <f t="shared" si="20"/>
        <v>S1Telefono</v>
      </c>
      <c r="D157" t="s">
        <v>14</v>
      </c>
      <c r="E157" t="str">
        <f t="shared" si="21"/>
        <v>TelefonoMayo</v>
      </c>
      <c r="F157" t="str">
        <f t="shared" si="19"/>
        <v>S1TelefonoMayo</v>
      </c>
      <c r="G157" s="1">
        <v>1500</v>
      </c>
      <c r="H157" s="1"/>
    </row>
    <row r="158" spans="1:8" x14ac:dyDescent="0.25">
      <c r="A158" t="s">
        <v>42</v>
      </c>
      <c r="B158" t="s">
        <v>5</v>
      </c>
      <c r="C158" t="str">
        <f t="shared" si="20"/>
        <v>S2Gas</v>
      </c>
      <c r="D158" t="s">
        <v>16</v>
      </c>
      <c r="E158" t="str">
        <f t="shared" si="21"/>
        <v>GasJunio</v>
      </c>
      <c r="F158" t="str">
        <f t="shared" si="19"/>
        <v>S2GasJunio</v>
      </c>
      <c r="G158" s="1">
        <v>1800</v>
      </c>
      <c r="H158" s="1"/>
    </row>
    <row r="159" spans="1:8" x14ac:dyDescent="0.25">
      <c r="A159" t="s">
        <v>45</v>
      </c>
      <c r="B159" t="s">
        <v>6</v>
      </c>
      <c r="C159" t="str">
        <f t="shared" si="20"/>
        <v>S5Agua</v>
      </c>
      <c r="D159" t="s">
        <v>17</v>
      </c>
      <c r="E159" t="str">
        <f t="shared" si="21"/>
        <v>AguaJulio</v>
      </c>
      <c r="F159" t="str">
        <f t="shared" si="19"/>
        <v>S5AguaJulio</v>
      </c>
      <c r="G159" s="1">
        <v>2500</v>
      </c>
      <c r="H159" s="1"/>
    </row>
    <row r="160" spans="1:8" x14ac:dyDescent="0.25">
      <c r="A160" t="s">
        <v>43</v>
      </c>
      <c r="B160" t="s">
        <v>3</v>
      </c>
      <c r="C160" t="str">
        <f t="shared" si="20"/>
        <v>S3Luz</v>
      </c>
      <c r="D160" t="s">
        <v>18</v>
      </c>
      <c r="E160" t="str">
        <f t="shared" si="21"/>
        <v>LuzAgosto</v>
      </c>
      <c r="F160" t="str">
        <f t="shared" si="19"/>
        <v>S3LuzAgosto</v>
      </c>
      <c r="G160" s="1">
        <v>2900</v>
      </c>
      <c r="H160" s="1"/>
    </row>
    <row r="161" spans="1:8" x14ac:dyDescent="0.25">
      <c r="A161" t="s">
        <v>42</v>
      </c>
      <c r="B161" t="s">
        <v>3</v>
      </c>
      <c r="C161" t="str">
        <f t="shared" si="20"/>
        <v>S2Luz</v>
      </c>
      <c r="D161" t="s">
        <v>19</v>
      </c>
      <c r="E161" t="str">
        <f t="shared" si="21"/>
        <v>LuzSeptiembre</v>
      </c>
      <c r="F161" t="str">
        <f t="shared" si="19"/>
        <v>S2LuzSeptiembre</v>
      </c>
      <c r="G161" s="1">
        <v>3400</v>
      </c>
      <c r="H161" s="1"/>
    </row>
    <row r="162" spans="1:8" x14ac:dyDescent="0.25">
      <c r="A162" t="s">
        <v>41</v>
      </c>
      <c r="B162" t="s">
        <v>7</v>
      </c>
      <c r="C162" t="str">
        <f t="shared" si="20"/>
        <v>S1Cable</v>
      </c>
      <c r="D162" t="s">
        <v>20</v>
      </c>
      <c r="E162" t="str">
        <f t="shared" si="21"/>
        <v>CableOctubre</v>
      </c>
      <c r="F162" t="str">
        <f t="shared" si="19"/>
        <v>S1CableOctubre</v>
      </c>
      <c r="G162" s="1">
        <v>5002</v>
      </c>
      <c r="H162" s="1"/>
    </row>
    <row r="163" spans="1:8" x14ac:dyDescent="0.25">
      <c r="A163" t="s">
        <v>42</v>
      </c>
      <c r="B163" t="s">
        <v>5</v>
      </c>
      <c r="C163" t="str">
        <f t="shared" si="20"/>
        <v>S2Gas</v>
      </c>
      <c r="D163" t="s">
        <v>21</v>
      </c>
      <c r="E163" t="str">
        <f t="shared" si="21"/>
        <v>GasNoviembre</v>
      </c>
      <c r="F163" t="str">
        <f t="shared" si="19"/>
        <v>S2GasNoviembre</v>
      </c>
      <c r="G163" s="1">
        <v>4005</v>
      </c>
      <c r="H163" s="1"/>
    </row>
    <row r="164" spans="1:8" x14ac:dyDescent="0.25">
      <c r="A164" t="s">
        <v>43</v>
      </c>
      <c r="B164" t="s">
        <v>3</v>
      </c>
      <c r="C164" t="str">
        <f t="shared" si="20"/>
        <v>S3Luz</v>
      </c>
      <c r="D164" t="s">
        <v>22</v>
      </c>
      <c r="E164" t="str">
        <f t="shared" si="21"/>
        <v>LuzDiciembre</v>
      </c>
      <c r="F164" t="str">
        <f t="shared" si="19"/>
        <v>S3LuzDiciembre</v>
      </c>
      <c r="G164" s="1">
        <v>5200</v>
      </c>
      <c r="H164" s="1"/>
    </row>
    <row r="165" spans="1:8" x14ac:dyDescent="0.25">
      <c r="A165" t="s">
        <v>44</v>
      </c>
      <c r="B165" t="s">
        <v>4</v>
      </c>
      <c r="C165" t="str">
        <f t="shared" si="20"/>
        <v>S4Telefono</v>
      </c>
      <c r="D165" t="s">
        <v>8</v>
      </c>
      <c r="E165" t="str">
        <f t="shared" si="21"/>
        <v>TelefonoEnero</v>
      </c>
      <c r="F165" t="str">
        <f t="shared" si="19"/>
        <v>S4TelefonoEnero</v>
      </c>
      <c r="G165" s="1">
        <v>3500</v>
      </c>
      <c r="H165" s="1"/>
    </row>
    <row r="166" spans="1:8" x14ac:dyDescent="0.25">
      <c r="A166" t="s">
        <v>45</v>
      </c>
      <c r="B166" t="s">
        <v>7</v>
      </c>
      <c r="C166" t="str">
        <f t="shared" si="20"/>
        <v>S5Cable</v>
      </c>
      <c r="D166" t="s">
        <v>9</v>
      </c>
      <c r="E166" t="str">
        <f t="shared" si="21"/>
        <v>CableFebrero</v>
      </c>
      <c r="F166" t="str">
        <f t="shared" si="19"/>
        <v>S5CableFebrero</v>
      </c>
      <c r="G166" s="1">
        <v>2800</v>
      </c>
      <c r="H166" s="1"/>
    </row>
    <row r="167" spans="1:8" x14ac:dyDescent="0.25">
      <c r="A167" t="s">
        <v>42</v>
      </c>
      <c r="B167" t="s">
        <v>5</v>
      </c>
      <c r="C167" t="str">
        <f t="shared" si="20"/>
        <v>S2Gas</v>
      </c>
      <c r="D167" t="s">
        <v>10</v>
      </c>
      <c r="E167" t="str">
        <f t="shared" si="21"/>
        <v>GasMarzo</v>
      </c>
      <c r="F167" t="str">
        <f t="shared" si="19"/>
        <v>S2GasMarzo</v>
      </c>
      <c r="G167" s="1">
        <v>1200</v>
      </c>
      <c r="H167" s="1"/>
    </row>
    <row r="168" spans="1:8" x14ac:dyDescent="0.25">
      <c r="A168" t="s">
        <v>41</v>
      </c>
      <c r="B168" t="s">
        <v>6</v>
      </c>
      <c r="C168" t="str">
        <f t="shared" si="20"/>
        <v>S1Agua</v>
      </c>
      <c r="D168" t="s">
        <v>11</v>
      </c>
      <c r="E168" t="str">
        <f t="shared" si="21"/>
        <v>AguaAbril</v>
      </c>
      <c r="F168" t="str">
        <f t="shared" si="19"/>
        <v>S1AguaAbril</v>
      </c>
      <c r="G168" s="1">
        <v>1300</v>
      </c>
      <c r="H168" s="1"/>
    </row>
    <row r="169" spans="1:8" x14ac:dyDescent="0.25">
      <c r="A169" t="s">
        <v>42</v>
      </c>
      <c r="B169" t="s">
        <v>4</v>
      </c>
      <c r="C169" t="str">
        <f t="shared" si="20"/>
        <v>S2Telefono</v>
      </c>
      <c r="D169" t="s">
        <v>14</v>
      </c>
      <c r="E169" t="str">
        <f t="shared" si="21"/>
        <v>TelefonoMayo</v>
      </c>
      <c r="F169" t="str">
        <f t="shared" si="19"/>
        <v>S2TelefonoMayo</v>
      </c>
      <c r="G169" s="1">
        <v>3455</v>
      </c>
      <c r="H169" s="1"/>
    </row>
    <row r="170" spans="1:8" x14ac:dyDescent="0.25">
      <c r="A170" t="s">
        <v>42</v>
      </c>
      <c r="B170" t="s">
        <v>3</v>
      </c>
      <c r="C170" t="str">
        <f t="shared" si="20"/>
        <v>S2Luz</v>
      </c>
      <c r="D170" t="s">
        <v>16</v>
      </c>
      <c r="E170" t="str">
        <f t="shared" si="21"/>
        <v>LuzJunio</v>
      </c>
      <c r="F170" t="str">
        <f t="shared" si="19"/>
        <v>S2LuzJunio</v>
      </c>
      <c r="G170" s="1">
        <v>6500</v>
      </c>
      <c r="H170" s="1"/>
    </row>
    <row r="171" spans="1:8" x14ac:dyDescent="0.25">
      <c r="A171" t="s">
        <v>41</v>
      </c>
      <c r="B171" t="s">
        <v>3</v>
      </c>
      <c r="C171" t="str">
        <f>CONCATENATE(A171,B171)</f>
        <v>S1Luz</v>
      </c>
      <c r="D171" t="s">
        <v>17</v>
      </c>
      <c r="E171" t="str">
        <f>CONCATENATE(B171,D171)</f>
        <v>LuzJulio</v>
      </c>
      <c r="F171" t="str">
        <f t="shared" si="19"/>
        <v>S1LuzJulio</v>
      </c>
      <c r="G171" s="1">
        <v>2500</v>
      </c>
      <c r="H171" s="1"/>
    </row>
    <row r="172" spans="1:8" x14ac:dyDescent="0.25">
      <c r="A172" t="s">
        <v>41</v>
      </c>
      <c r="B172" t="s">
        <v>3</v>
      </c>
      <c r="C172" t="str">
        <f t="shared" ref="C172:C191" si="22">CONCATENATE(A172,B172)</f>
        <v>S1Luz</v>
      </c>
      <c r="D172" t="s">
        <v>18</v>
      </c>
      <c r="E172" t="str">
        <f t="shared" ref="E172:E191" si="23">CONCATENATE(B172,D172)</f>
        <v>LuzAgosto</v>
      </c>
      <c r="F172" t="str">
        <f t="shared" si="19"/>
        <v>S1LuzAgosto</v>
      </c>
      <c r="G172" s="1">
        <v>3200</v>
      </c>
      <c r="H172" s="1"/>
    </row>
    <row r="173" spans="1:8" x14ac:dyDescent="0.25">
      <c r="A173" t="s">
        <v>42</v>
      </c>
      <c r="B173" t="s">
        <v>4</v>
      </c>
      <c r="C173" t="str">
        <f t="shared" si="22"/>
        <v>S2Telefono</v>
      </c>
      <c r="D173" t="s">
        <v>19</v>
      </c>
      <c r="E173" t="str">
        <f t="shared" si="23"/>
        <v>TelefonoSeptiembre</v>
      </c>
      <c r="F173" t="str">
        <f t="shared" si="19"/>
        <v>S2TelefonoSeptiembre</v>
      </c>
      <c r="G173" s="1">
        <v>5200</v>
      </c>
      <c r="H173" s="1"/>
    </row>
    <row r="174" spans="1:8" x14ac:dyDescent="0.25">
      <c r="A174" t="s">
        <v>43</v>
      </c>
      <c r="B174" t="s">
        <v>5</v>
      </c>
      <c r="C174" t="str">
        <f t="shared" si="22"/>
        <v>S3Gas</v>
      </c>
      <c r="D174" t="s">
        <v>20</v>
      </c>
      <c r="E174" t="str">
        <f t="shared" si="23"/>
        <v>GasOctubre</v>
      </c>
      <c r="F174" t="str">
        <f t="shared" si="19"/>
        <v>S3GasOctubre</v>
      </c>
      <c r="G174" s="1">
        <v>1800</v>
      </c>
      <c r="H174" s="1"/>
    </row>
    <row r="175" spans="1:8" x14ac:dyDescent="0.25">
      <c r="A175" t="s">
        <v>44</v>
      </c>
      <c r="B175" t="s">
        <v>6</v>
      </c>
      <c r="C175" t="str">
        <f t="shared" si="22"/>
        <v>S4Agua</v>
      </c>
      <c r="D175" t="s">
        <v>21</v>
      </c>
      <c r="E175" t="str">
        <f t="shared" si="23"/>
        <v>AguaNoviembre</v>
      </c>
      <c r="F175" t="str">
        <f t="shared" si="19"/>
        <v>S4AguaNoviembre</v>
      </c>
      <c r="G175" s="1">
        <v>2500</v>
      </c>
      <c r="H175" s="1"/>
    </row>
    <row r="176" spans="1:8" x14ac:dyDescent="0.25">
      <c r="A176" t="s">
        <v>42</v>
      </c>
      <c r="B176" t="s">
        <v>7</v>
      </c>
      <c r="C176" t="str">
        <f t="shared" si="22"/>
        <v>S2Cable</v>
      </c>
      <c r="D176" t="s">
        <v>22</v>
      </c>
      <c r="E176" t="str">
        <f t="shared" si="23"/>
        <v>CableDiciembre</v>
      </c>
      <c r="F176" t="str">
        <f t="shared" si="19"/>
        <v>S2CableDiciembre</v>
      </c>
      <c r="G176" s="1">
        <v>3500</v>
      </c>
      <c r="H176" s="1"/>
    </row>
    <row r="177" spans="1:8" x14ac:dyDescent="0.25">
      <c r="A177" t="s">
        <v>43</v>
      </c>
      <c r="B177" t="s">
        <v>4</v>
      </c>
      <c r="C177" t="str">
        <f t="shared" si="22"/>
        <v>S3Telefono</v>
      </c>
      <c r="D177" t="s">
        <v>8</v>
      </c>
      <c r="E177" t="str">
        <f t="shared" si="23"/>
        <v>TelefonoEnero</v>
      </c>
      <c r="F177" t="str">
        <f t="shared" si="19"/>
        <v>S3TelefonoEnero</v>
      </c>
      <c r="G177" s="1">
        <v>6500</v>
      </c>
      <c r="H177" s="1"/>
    </row>
    <row r="178" spans="1:8" x14ac:dyDescent="0.25">
      <c r="A178" t="s">
        <v>41</v>
      </c>
      <c r="B178" t="s">
        <v>4</v>
      </c>
      <c r="C178" t="str">
        <f t="shared" si="22"/>
        <v>S1Telefono</v>
      </c>
      <c r="D178" t="s">
        <v>9</v>
      </c>
      <c r="E178" t="str">
        <f t="shared" si="23"/>
        <v>TelefonoFebrero</v>
      </c>
      <c r="F178" t="str">
        <f t="shared" si="19"/>
        <v>S1TelefonoFebrero</v>
      </c>
      <c r="G178" s="1">
        <v>1500</v>
      </c>
      <c r="H178" s="1"/>
    </row>
    <row r="179" spans="1:8" x14ac:dyDescent="0.25">
      <c r="A179" t="s">
        <v>42</v>
      </c>
      <c r="B179" t="s">
        <v>5</v>
      </c>
      <c r="C179" t="str">
        <f t="shared" si="22"/>
        <v>S2Gas</v>
      </c>
      <c r="D179" t="s">
        <v>10</v>
      </c>
      <c r="E179" t="str">
        <f t="shared" si="23"/>
        <v>GasMarzo</v>
      </c>
      <c r="F179" t="str">
        <f t="shared" si="19"/>
        <v>S2GasMarzo</v>
      </c>
      <c r="G179" s="1">
        <v>1800</v>
      </c>
      <c r="H179" s="1"/>
    </row>
    <row r="180" spans="1:8" x14ac:dyDescent="0.25">
      <c r="A180" t="s">
        <v>45</v>
      </c>
      <c r="B180" t="s">
        <v>6</v>
      </c>
      <c r="C180" t="str">
        <f t="shared" si="22"/>
        <v>S5Agua</v>
      </c>
      <c r="D180" t="s">
        <v>11</v>
      </c>
      <c r="E180" t="str">
        <f t="shared" si="23"/>
        <v>AguaAbril</v>
      </c>
      <c r="F180" t="str">
        <f t="shared" si="19"/>
        <v>S5AguaAbril</v>
      </c>
      <c r="G180" s="1">
        <v>2500</v>
      </c>
      <c r="H180" s="1"/>
    </row>
    <row r="181" spans="1:8" x14ac:dyDescent="0.25">
      <c r="A181" t="s">
        <v>44</v>
      </c>
      <c r="B181" t="s">
        <v>3</v>
      </c>
      <c r="C181" t="str">
        <f t="shared" si="22"/>
        <v>S4Luz</v>
      </c>
      <c r="D181" t="s">
        <v>14</v>
      </c>
      <c r="E181" t="str">
        <f t="shared" si="23"/>
        <v>LuzMayo</v>
      </c>
      <c r="F181" t="str">
        <f t="shared" si="19"/>
        <v>S4LuzMayo</v>
      </c>
      <c r="G181" s="1">
        <v>2900</v>
      </c>
      <c r="H181" s="1"/>
    </row>
    <row r="182" spans="1:8" x14ac:dyDescent="0.25">
      <c r="A182" t="s">
        <v>42</v>
      </c>
      <c r="B182" t="s">
        <v>3</v>
      </c>
      <c r="C182" t="str">
        <f t="shared" si="22"/>
        <v>S2Luz</v>
      </c>
      <c r="D182" t="s">
        <v>16</v>
      </c>
      <c r="E182" t="str">
        <f t="shared" si="23"/>
        <v>LuzJunio</v>
      </c>
      <c r="F182" t="str">
        <f t="shared" si="19"/>
        <v>S2LuzJunio</v>
      </c>
      <c r="G182" s="1">
        <v>3400</v>
      </c>
      <c r="H182" s="1"/>
    </row>
    <row r="183" spans="1:8" x14ac:dyDescent="0.25">
      <c r="A183" t="s">
        <v>41</v>
      </c>
      <c r="B183" t="s">
        <v>7</v>
      </c>
      <c r="C183" t="str">
        <f t="shared" si="22"/>
        <v>S1Cable</v>
      </c>
      <c r="D183" t="s">
        <v>17</v>
      </c>
      <c r="E183" t="str">
        <f t="shared" si="23"/>
        <v>CableJulio</v>
      </c>
      <c r="F183" t="str">
        <f t="shared" si="19"/>
        <v>S1CableJulio</v>
      </c>
      <c r="G183" s="1">
        <v>5002</v>
      </c>
      <c r="H183" s="1"/>
    </row>
    <row r="184" spans="1:8" x14ac:dyDescent="0.25">
      <c r="A184" t="s">
        <v>42</v>
      </c>
      <c r="B184" t="s">
        <v>5</v>
      </c>
      <c r="C184" t="str">
        <f t="shared" si="22"/>
        <v>S2Gas</v>
      </c>
      <c r="D184" t="s">
        <v>18</v>
      </c>
      <c r="E184" t="str">
        <f t="shared" si="23"/>
        <v>GasAgosto</v>
      </c>
      <c r="F184" t="str">
        <f t="shared" si="19"/>
        <v>S2GasAgosto</v>
      </c>
      <c r="G184" s="1">
        <v>4005</v>
      </c>
      <c r="H184" s="1"/>
    </row>
    <row r="185" spans="1:8" x14ac:dyDescent="0.25">
      <c r="A185" t="s">
        <v>43</v>
      </c>
      <c r="B185" t="s">
        <v>3</v>
      </c>
      <c r="C185" t="str">
        <f t="shared" si="22"/>
        <v>S3Luz</v>
      </c>
      <c r="D185" t="s">
        <v>19</v>
      </c>
      <c r="E185" t="str">
        <f t="shared" si="23"/>
        <v>LuzSeptiembre</v>
      </c>
      <c r="F185" t="str">
        <f t="shared" si="19"/>
        <v>S3LuzSeptiembre</v>
      </c>
      <c r="G185" s="1">
        <v>5200</v>
      </c>
      <c r="H185" s="1"/>
    </row>
    <row r="186" spans="1:8" x14ac:dyDescent="0.25">
      <c r="A186" t="s">
        <v>44</v>
      </c>
      <c r="B186" t="s">
        <v>4</v>
      </c>
      <c r="C186" t="str">
        <f t="shared" si="22"/>
        <v>S4Telefono</v>
      </c>
      <c r="D186" t="s">
        <v>20</v>
      </c>
      <c r="E186" t="str">
        <f t="shared" si="23"/>
        <v>TelefonoOctubre</v>
      </c>
      <c r="F186" t="str">
        <f t="shared" si="19"/>
        <v>S4TelefonoOctubre</v>
      </c>
      <c r="G186" s="1">
        <v>3500</v>
      </c>
      <c r="H186" s="1"/>
    </row>
    <row r="187" spans="1:8" x14ac:dyDescent="0.25">
      <c r="A187" t="s">
        <v>45</v>
      </c>
      <c r="B187" t="s">
        <v>7</v>
      </c>
      <c r="C187" t="str">
        <f t="shared" si="22"/>
        <v>S5Cable</v>
      </c>
      <c r="D187" t="s">
        <v>21</v>
      </c>
      <c r="E187" t="str">
        <f t="shared" si="23"/>
        <v>CableNoviembre</v>
      </c>
      <c r="F187" t="str">
        <f t="shared" si="19"/>
        <v>S5CableNoviembre</v>
      </c>
      <c r="G187" s="1">
        <v>2800</v>
      </c>
      <c r="H187" s="1"/>
    </row>
    <row r="188" spans="1:8" x14ac:dyDescent="0.25">
      <c r="A188" t="s">
        <v>42</v>
      </c>
      <c r="B188" t="s">
        <v>5</v>
      </c>
      <c r="C188" t="str">
        <f t="shared" si="22"/>
        <v>S2Gas</v>
      </c>
      <c r="D188" t="s">
        <v>22</v>
      </c>
      <c r="E188" t="str">
        <f t="shared" si="23"/>
        <v>GasDiciembre</v>
      </c>
      <c r="F188" t="str">
        <f t="shared" si="19"/>
        <v>S2GasDiciembre</v>
      </c>
      <c r="G188" s="1">
        <v>1200</v>
      </c>
      <c r="H188" s="1"/>
    </row>
    <row r="189" spans="1:8" x14ac:dyDescent="0.25">
      <c r="A189" t="s">
        <v>41</v>
      </c>
      <c r="B189" t="s">
        <v>6</v>
      </c>
      <c r="C189" t="str">
        <f t="shared" si="22"/>
        <v>S1Agua</v>
      </c>
      <c r="D189" t="s">
        <v>8</v>
      </c>
      <c r="E189" t="str">
        <f t="shared" si="23"/>
        <v>AguaEnero</v>
      </c>
      <c r="F189" t="str">
        <f t="shared" si="19"/>
        <v>S1AguaEnero</v>
      </c>
      <c r="G189" s="1">
        <v>1300</v>
      </c>
      <c r="H189" s="1"/>
    </row>
    <row r="190" spans="1:8" x14ac:dyDescent="0.25">
      <c r="A190" t="s">
        <v>42</v>
      </c>
      <c r="B190" t="s">
        <v>4</v>
      </c>
      <c r="C190" t="str">
        <f t="shared" si="22"/>
        <v>S2Telefono</v>
      </c>
      <c r="D190" t="s">
        <v>9</v>
      </c>
      <c r="E190" t="str">
        <f t="shared" si="23"/>
        <v>TelefonoFebrero</v>
      </c>
      <c r="F190" t="str">
        <f t="shared" si="19"/>
        <v>S2TelefonoFebrero</v>
      </c>
      <c r="G190" s="1">
        <v>3455</v>
      </c>
      <c r="H190" s="1"/>
    </row>
    <row r="191" spans="1:8" x14ac:dyDescent="0.25">
      <c r="A191" t="s">
        <v>42</v>
      </c>
      <c r="B191" t="s">
        <v>3</v>
      </c>
      <c r="C191" t="str">
        <f t="shared" si="22"/>
        <v>S2Luz</v>
      </c>
      <c r="D191" t="s">
        <v>10</v>
      </c>
      <c r="E191" t="str">
        <f t="shared" si="23"/>
        <v>LuzMarzo</v>
      </c>
      <c r="F191" t="str">
        <f t="shared" si="19"/>
        <v>S2LuzMarzo</v>
      </c>
      <c r="G191" s="1">
        <v>6500</v>
      </c>
      <c r="H191" s="1"/>
    </row>
    <row r="192" spans="1:8" x14ac:dyDescent="0.25">
      <c r="A192" t="s">
        <v>41</v>
      </c>
      <c r="B192" t="s">
        <v>3</v>
      </c>
      <c r="C192" t="str">
        <f>CONCATENATE(A192,B192)</f>
        <v>S1Luz</v>
      </c>
      <c r="D192" t="s">
        <v>11</v>
      </c>
      <c r="E192" t="str">
        <f>CONCATENATE(B192,D192)</f>
        <v>LuzAbril</v>
      </c>
      <c r="F192" t="str">
        <f t="shared" si="19"/>
        <v>S1LuzAbril</v>
      </c>
      <c r="G192" s="1">
        <v>2500</v>
      </c>
      <c r="H192" s="1"/>
    </row>
    <row r="193" spans="1:8" x14ac:dyDescent="0.25">
      <c r="A193" t="s">
        <v>42</v>
      </c>
      <c r="B193" t="s">
        <v>3</v>
      </c>
      <c r="C193" t="str">
        <f t="shared" ref="C193:C212" si="24">CONCATENATE(A193,B193)</f>
        <v>S2Luz</v>
      </c>
      <c r="D193" t="s">
        <v>14</v>
      </c>
      <c r="E193" t="str">
        <f t="shared" ref="E193:E212" si="25">CONCATENATE(B193,D193)</f>
        <v>LuzMayo</v>
      </c>
      <c r="F193" t="str">
        <f t="shared" si="19"/>
        <v>S2LuzMayo</v>
      </c>
      <c r="G193" s="1">
        <v>3200</v>
      </c>
      <c r="H193" s="1"/>
    </row>
    <row r="194" spans="1:8" x14ac:dyDescent="0.25">
      <c r="A194" t="s">
        <v>43</v>
      </c>
      <c r="B194" t="s">
        <v>4</v>
      </c>
      <c r="C194" t="str">
        <f t="shared" si="24"/>
        <v>S3Telefono</v>
      </c>
      <c r="D194" t="s">
        <v>16</v>
      </c>
      <c r="E194" t="str">
        <f t="shared" si="25"/>
        <v>TelefonoJunio</v>
      </c>
      <c r="F194" t="str">
        <f t="shared" si="19"/>
        <v>S3TelefonoJunio</v>
      </c>
      <c r="G194" s="1">
        <v>5200</v>
      </c>
      <c r="H194" s="1"/>
    </row>
    <row r="195" spans="1:8" x14ac:dyDescent="0.25">
      <c r="A195" t="s">
        <v>44</v>
      </c>
      <c r="B195" t="s">
        <v>5</v>
      </c>
      <c r="C195" t="str">
        <f t="shared" si="24"/>
        <v>S4Gas</v>
      </c>
      <c r="D195" t="s">
        <v>17</v>
      </c>
      <c r="E195" t="str">
        <f t="shared" si="25"/>
        <v>GasJulio</v>
      </c>
      <c r="F195" t="str">
        <f t="shared" si="19"/>
        <v>S4GasJulio</v>
      </c>
      <c r="G195" s="1">
        <v>1800</v>
      </c>
      <c r="H195" s="1"/>
    </row>
    <row r="196" spans="1:8" x14ac:dyDescent="0.25">
      <c r="A196" t="s">
        <v>45</v>
      </c>
      <c r="B196" t="s">
        <v>6</v>
      </c>
      <c r="C196" t="str">
        <f t="shared" si="24"/>
        <v>S5Agua</v>
      </c>
      <c r="D196" t="s">
        <v>18</v>
      </c>
      <c r="E196" t="str">
        <f t="shared" si="25"/>
        <v>AguaAgosto</v>
      </c>
      <c r="F196" t="str">
        <f t="shared" ref="F196:F259" si="26">CONCATENATE(A196,B196,D196)</f>
        <v>S5AguaAgosto</v>
      </c>
      <c r="G196" s="1">
        <v>2500</v>
      </c>
      <c r="H196" s="1"/>
    </row>
    <row r="197" spans="1:8" x14ac:dyDescent="0.25">
      <c r="A197" t="s">
        <v>42</v>
      </c>
      <c r="B197" t="s">
        <v>7</v>
      </c>
      <c r="C197" t="str">
        <f t="shared" si="24"/>
        <v>S2Cable</v>
      </c>
      <c r="D197" t="s">
        <v>19</v>
      </c>
      <c r="E197" t="str">
        <f t="shared" si="25"/>
        <v>CableSeptiembre</v>
      </c>
      <c r="F197" t="str">
        <f t="shared" si="26"/>
        <v>S2CableSeptiembre</v>
      </c>
      <c r="G197" s="1">
        <v>3500</v>
      </c>
      <c r="H197" s="1"/>
    </row>
    <row r="198" spans="1:8" x14ac:dyDescent="0.25">
      <c r="A198" t="s">
        <v>43</v>
      </c>
      <c r="B198" t="s">
        <v>4</v>
      </c>
      <c r="C198" t="str">
        <f t="shared" si="24"/>
        <v>S3Telefono</v>
      </c>
      <c r="D198" t="s">
        <v>20</v>
      </c>
      <c r="E198" t="str">
        <f t="shared" si="25"/>
        <v>TelefonoOctubre</v>
      </c>
      <c r="F198" t="str">
        <f t="shared" si="26"/>
        <v>S3TelefonoOctubre</v>
      </c>
      <c r="G198" s="1">
        <v>6500</v>
      </c>
      <c r="H198" s="1"/>
    </row>
    <row r="199" spans="1:8" x14ac:dyDescent="0.25">
      <c r="A199" t="s">
        <v>41</v>
      </c>
      <c r="B199" t="s">
        <v>4</v>
      </c>
      <c r="C199" t="str">
        <f t="shared" si="24"/>
        <v>S1Telefono</v>
      </c>
      <c r="D199" t="s">
        <v>21</v>
      </c>
      <c r="E199" t="str">
        <f t="shared" si="25"/>
        <v>TelefonoNoviembre</v>
      </c>
      <c r="F199" t="str">
        <f t="shared" si="26"/>
        <v>S1TelefonoNoviembre</v>
      </c>
      <c r="G199" s="1">
        <v>1500</v>
      </c>
      <c r="H199" s="1"/>
    </row>
    <row r="200" spans="1:8" x14ac:dyDescent="0.25">
      <c r="A200" t="s">
        <v>42</v>
      </c>
      <c r="B200" t="s">
        <v>5</v>
      </c>
      <c r="C200" t="str">
        <f t="shared" si="24"/>
        <v>S2Gas</v>
      </c>
      <c r="D200" t="s">
        <v>22</v>
      </c>
      <c r="E200" t="str">
        <f t="shared" si="25"/>
        <v>GasDiciembre</v>
      </c>
      <c r="F200" t="str">
        <f t="shared" si="26"/>
        <v>S2GasDiciembre</v>
      </c>
      <c r="G200" s="1">
        <v>1800</v>
      </c>
      <c r="H200" s="1"/>
    </row>
    <row r="201" spans="1:8" x14ac:dyDescent="0.25">
      <c r="A201" t="s">
        <v>45</v>
      </c>
      <c r="B201" t="s">
        <v>6</v>
      </c>
      <c r="C201" t="str">
        <f t="shared" si="24"/>
        <v>S5Agua</v>
      </c>
      <c r="D201" t="s">
        <v>8</v>
      </c>
      <c r="E201" t="str">
        <f t="shared" si="25"/>
        <v>AguaEnero</v>
      </c>
      <c r="F201" t="str">
        <f t="shared" si="26"/>
        <v>S5AguaEnero</v>
      </c>
      <c r="G201" s="1">
        <v>2500</v>
      </c>
      <c r="H201" s="1"/>
    </row>
    <row r="202" spans="1:8" x14ac:dyDescent="0.25">
      <c r="A202" t="s">
        <v>43</v>
      </c>
      <c r="B202" t="s">
        <v>3</v>
      </c>
      <c r="C202" t="str">
        <f t="shared" si="24"/>
        <v>S3Luz</v>
      </c>
      <c r="D202" t="s">
        <v>9</v>
      </c>
      <c r="E202" t="str">
        <f t="shared" si="25"/>
        <v>LuzFebrero</v>
      </c>
      <c r="F202" t="str">
        <f t="shared" si="26"/>
        <v>S3LuzFebrero</v>
      </c>
      <c r="G202" s="1">
        <v>2900</v>
      </c>
      <c r="H202" s="1"/>
    </row>
    <row r="203" spans="1:8" x14ac:dyDescent="0.25">
      <c r="A203" t="s">
        <v>42</v>
      </c>
      <c r="B203" t="s">
        <v>3</v>
      </c>
      <c r="C203" t="str">
        <f t="shared" si="24"/>
        <v>S2Luz</v>
      </c>
      <c r="D203" t="s">
        <v>10</v>
      </c>
      <c r="E203" t="str">
        <f t="shared" si="25"/>
        <v>LuzMarzo</v>
      </c>
      <c r="F203" t="str">
        <f t="shared" si="26"/>
        <v>S2LuzMarzo</v>
      </c>
      <c r="G203" s="1">
        <v>3400</v>
      </c>
      <c r="H203" s="1"/>
    </row>
    <row r="204" spans="1:8" x14ac:dyDescent="0.25">
      <c r="A204" t="s">
        <v>41</v>
      </c>
      <c r="B204" t="s">
        <v>7</v>
      </c>
      <c r="C204" t="str">
        <f t="shared" si="24"/>
        <v>S1Cable</v>
      </c>
      <c r="D204" t="s">
        <v>11</v>
      </c>
      <c r="E204" t="str">
        <f t="shared" si="25"/>
        <v>CableAbril</v>
      </c>
      <c r="F204" t="str">
        <f t="shared" si="26"/>
        <v>S1CableAbril</v>
      </c>
      <c r="G204" s="1">
        <v>5002</v>
      </c>
      <c r="H204" s="1"/>
    </row>
    <row r="205" spans="1:8" x14ac:dyDescent="0.25">
      <c r="A205" t="s">
        <v>42</v>
      </c>
      <c r="B205" t="s">
        <v>5</v>
      </c>
      <c r="C205" t="str">
        <f t="shared" si="24"/>
        <v>S2Gas</v>
      </c>
      <c r="D205" t="s">
        <v>14</v>
      </c>
      <c r="E205" t="str">
        <f t="shared" si="25"/>
        <v>GasMayo</v>
      </c>
      <c r="F205" t="str">
        <f t="shared" si="26"/>
        <v>S2GasMayo</v>
      </c>
      <c r="G205" s="1">
        <v>4005</v>
      </c>
      <c r="H205" s="1"/>
    </row>
    <row r="206" spans="1:8" x14ac:dyDescent="0.25">
      <c r="A206" t="s">
        <v>43</v>
      </c>
      <c r="B206" t="s">
        <v>3</v>
      </c>
      <c r="C206" t="str">
        <f t="shared" si="24"/>
        <v>S3Luz</v>
      </c>
      <c r="D206" t="s">
        <v>16</v>
      </c>
      <c r="E206" t="str">
        <f t="shared" si="25"/>
        <v>LuzJunio</v>
      </c>
      <c r="F206" t="str">
        <f t="shared" si="26"/>
        <v>S3LuzJunio</v>
      </c>
      <c r="G206" s="1">
        <v>5200</v>
      </c>
      <c r="H206" s="1"/>
    </row>
    <row r="207" spans="1:8" x14ac:dyDescent="0.25">
      <c r="A207" t="s">
        <v>42</v>
      </c>
      <c r="B207" t="s">
        <v>4</v>
      </c>
      <c r="C207" t="str">
        <f t="shared" si="24"/>
        <v>S2Telefono</v>
      </c>
      <c r="D207" t="s">
        <v>17</v>
      </c>
      <c r="E207" t="str">
        <f t="shared" si="25"/>
        <v>TelefonoJulio</v>
      </c>
      <c r="F207" t="str">
        <f t="shared" si="26"/>
        <v>S2TelefonoJulio</v>
      </c>
      <c r="G207" s="1">
        <v>3500</v>
      </c>
      <c r="H207" s="1"/>
    </row>
    <row r="208" spans="1:8" x14ac:dyDescent="0.25">
      <c r="A208" t="s">
        <v>42</v>
      </c>
      <c r="B208" t="s">
        <v>7</v>
      </c>
      <c r="C208" t="str">
        <f t="shared" si="24"/>
        <v>S2Cable</v>
      </c>
      <c r="D208" t="s">
        <v>18</v>
      </c>
      <c r="E208" t="str">
        <f t="shared" si="25"/>
        <v>CableAgosto</v>
      </c>
      <c r="F208" t="str">
        <f t="shared" si="26"/>
        <v>S2CableAgosto</v>
      </c>
      <c r="G208" s="1">
        <v>2800</v>
      </c>
      <c r="H208" s="1"/>
    </row>
    <row r="209" spans="1:8" x14ac:dyDescent="0.25">
      <c r="A209" t="s">
        <v>45</v>
      </c>
      <c r="B209" t="s">
        <v>5</v>
      </c>
      <c r="C209" t="str">
        <f t="shared" si="24"/>
        <v>S5Gas</v>
      </c>
      <c r="D209" t="s">
        <v>19</v>
      </c>
      <c r="E209" t="str">
        <f t="shared" si="25"/>
        <v>GasSeptiembre</v>
      </c>
      <c r="F209" t="str">
        <f t="shared" si="26"/>
        <v>S5GasSeptiembre</v>
      </c>
      <c r="G209" s="1">
        <v>1200</v>
      </c>
      <c r="H209" s="1"/>
    </row>
    <row r="210" spans="1:8" x14ac:dyDescent="0.25">
      <c r="A210" t="s">
        <v>45</v>
      </c>
      <c r="B210" t="s">
        <v>6</v>
      </c>
      <c r="C210" t="str">
        <f t="shared" si="24"/>
        <v>S5Agua</v>
      </c>
      <c r="D210" t="s">
        <v>20</v>
      </c>
      <c r="E210" t="str">
        <f t="shared" si="25"/>
        <v>AguaOctubre</v>
      </c>
      <c r="F210" t="str">
        <f t="shared" si="26"/>
        <v>S5AguaOctubre</v>
      </c>
      <c r="G210" s="1">
        <v>1300</v>
      </c>
      <c r="H210" s="1"/>
    </row>
    <row r="211" spans="1:8" x14ac:dyDescent="0.25">
      <c r="A211" t="s">
        <v>45</v>
      </c>
      <c r="B211" t="s">
        <v>4</v>
      </c>
      <c r="C211" t="str">
        <f t="shared" si="24"/>
        <v>S5Telefono</v>
      </c>
      <c r="D211" t="s">
        <v>21</v>
      </c>
      <c r="E211" t="str">
        <f t="shared" si="25"/>
        <v>TelefonoNoviembre</v>
      </c>
      <c r="F211" t="str">
        <f t="shared" si="26"/>
        <v>S5TelefonoNoviembre</v>
      </c>
      <c r="G211" s="1">
        <v>3455</v>
      </c>
      <c r="H211" s="1"/>
    </row>
    <row r="212" spans="1:8" x14ac:dyDescent="0.25">
      <c r="A212" t="s">
        <v>45</v>
      </c>
      <c r="B212" t="s">
        <v>3</v>
      </c>
      <c r="C212" t="str">
        <f t="shared" si="24"/>
        <v>S5Luz</v>
      </c>
      <c r="D212" t="s">
        <v>22</v>
      </c>
      <c r="E212" t="str">
        <f t="shared" si="25"/>
        <v>LuzDiciembre</v>
      </c>
      <c r="F212" t="str">
        <f t="shared" si="26"/>
        <v>S5LuzDiciembre</v>
      </c>
      <c r="G212" s="1">
        <v>6500</v>
      </c>
      <c r="H212" s="1"/>
    </row>
    <row r="213" spans="1:8" x14ac:dyDescent="0.25">
      <c r="A213" t="s">
        <v>42</v>
      </c>
      <c r="B213" t="s">
        <v>3</v>
      </c>
      <c r="C213" t="str">
        <f>CONCATENATE(A213,B213)</f>
        <v>S2Luz</v>
      </c>
      <c r="D213" t="s">
        <v>8</v>
      </c>
      <c r="E213" t="str">
        <f>CONCATENATE(B213,D213)</f>
        <v>LuzEnero</v>
      </c>
      <c r="F213" t="str">
        <f t="shared" si="26"/>
        <v>S2LuzEnero</v>
      </c>
      <c r="G213" s="1">
        <v>2500</v>
      </c>
      <c r="H213" s="1"/>
    </row>
    <row r="214" spans="1:8" x14ac:dyDescent="0.25">
      <c r="A214" t="s">
        <v>41</v>
      </c>
      <c r="B214" t="s">
        <v>3</v>
      </c>
      <c r="C214" t="str">
        <f t="shared" ref="C214:C233" si="27">CONCATENATE(A214,B214)</f>
        <v>S1Luz</v>
      </c>
      <c r="D214" t="s">
        <v>9</v>
      </c>
      <c r="E214" t="str">
        <f t="shared" ref="E214:E233" si="28">CONCATENATE(B214,D214)</f>
        <v>LuzFebrero</v>
      </c>
      <c r="F214" t="str">
        <f t="shared" si="26"/>
        <v>S1LuzFebrero</v>
      </c>
      <c r="G214" s="1">
        <v>3200</v>
      </c>
      <c r="H214" s="1"/>
    </row>
    <row r="215" spans="1:8" x14ac:dyDescent="0.25">
      <c r="A215" t="s">
        <v>42</v>
      </c>
      <c r="B215" t="s">
        <v>4</v>
      </c>
      <c r="C215" t="str">
        <f t="shared" si="27"/>
        <v>S2Telefono</v>
      </c>
      <c r="D215" t="s">
        <v>10</v>
      </c>
      <c r="E215" t="str">
        <f t="shared" si="28"/>
        <v>TelefonoMarzo</v>
      </c>
      <c r="F215" t="str">
        <f t="shared" si="26"/>
        <v>S2TelefonoMarzo</v>
      </c>
      <c r="G215" s="1">
        <v>5200</v>
      </c>
      <c r="H215" s="1"/>
    </row>
    <row r="216" spans="1:8" x14ac:dyDescent="0.25">
      <c r="A216" t="s">
        <v>43</v>
      </c>
      <c r="B216" t="s">
        <v>5</v>
      </c>
      <c r="C216" t="str">
        <f t="shared" si="27"/>
        <v>S3Gas</v>
      </c>
      <c r="D216" t="s">
        <v>11</v>
      </c>
      <c r="E216" t="str">
        <f t="shared" si="28"/>
        <v>GasAbril</v>
      </c>
      <c r="F216" t="str">
        <f t="shared" si="26"/>
        <v>S3GasAbril</v>
      </c>
      <c r="G216" s="1">
        <v>1800</v>
      </c>
      <c r="H216" s="1"/>
    </row>
    <row r="217" spans="1:8" x14ac:dyDescent="0.25">
      <c r="A217" t="s">
        <v>42</v>
      </c>
      <c r="B217" t="s">
        <v>6</v>
      </c>
      <c r="C217" t="str">
        <f t="shared" si="27"/>
        <v>S2Agua</v>
      </c>
      <c r="D217" t="s">
        <v>14</v>
      </c>
      <c r="E217" t="str">
        <f t="shared" si="28"/>
        <v>AguaMayo</v>
      </c>
      <c r="F217" t="str">
        <f t="shared" si="26"/>
        <v>S2AguaMayo</v>
      </c>
      <c r="G217" s="1">
        <v>2500</v>
      </c>
      <c r="H217" s="1"/>
    </row>
    <row r="218" spans="1:8" x14ac:dyDescent="0.25">
      <c r="A218" t="s">
        <v>42</v>
      </c>
      <c r="B218" t="s">
        <v>7</v>
      </c>
      <c r="C218" t="str">
        <f t="shared" si="27"/>
        <v>S2Cable</v>
      </c>
      <c r="D218" t="s">
        <v>16</v>
      </c>
      <c r="E218" t="str">
        <f t="shared" si="28"/>
        <v>CableJunio</v>
      </c>
      <c r="F218" t="str">
        <f t="shared" si="26"/>
        <v>S2CableJunio</v>
      </c>
      <c r="G218" s="1">
        <v>3500</v>
      </c>
      <c r="H218" s="1"/>
    </row>
    <row r="219" spans="1:8" x14ac:dyDescent="0.25">
      <c r="A219" t="s">
        <v>43</v>
      </c>
      <c r="B219" t="s">
        <v>4</v>
      </c>
      <c r="C219" t="str">
        <f t="shared" si="27"/>
        <v>S3Telefono</v>
      </c>
      <c r="D219" t="s">
        <v>17</v>
      </c>
      <c r="E219" t="str">
        <f t="shared" si="28"/>
        <v>TelefonoJulio</v>
      </c>
      <c r="F219" t="str">
        <f t="shared" si="26"/>
        <v>S3TelefonoJulio</v>
      </c>
      <c r="G219" s="1">
        <v>6500</v>
      </c>
      <c r="H219" s="1"/>
    </row>
    <row r="220" spans="1:8" x14ac:dyDescent="0.25">
      <c r="A220" t="s">
        <v>41</v>
      </c>
      <c r="B220" t="s">
        <v>4</v>
      </c>
      <c r="C220" t="str">
        <f t="shared" si="27"/>
        <v>S1Telefono</v>
      </c>
      <c r="D220" t="s">
        <v>18</v>
      </c>
      <c r="E220" t="str">
        <f t="shared" si="28"/>
        <v>TelefonoAgosto</v>
      </c>
      <c r="F220" t="str">
        <f t="shared" si="26"/>
        <v>S1TelefonoAgosto</v>
      </c>
      <c r="G220" s="1">
        <v>1500</v>
      </c>
      <c r="H220" s="1"/>
    </row>
    <row r="221" spans="1:8" x14ac:dyDescent="0.25">
      <c r="A221" t="s">
        <v>42</v>
      </c>
      <c r="B221" t="s">
        <v>5</v>
      </c>
      <c r="C221" t="str">
        <f t="shared" si="27"/>
        <v>S2Gas</v>
      </c>
      <c r="D221" t="s">
        <v>19</v>
      </c>
      <c r="E221" t="str">
        <f t="shared" si="28"/>
        <v>GasSeptiembre</v>
      </c>
      <c r="F221" t="str">
        <f t="shared" si="26"/>
        <v>S2GasSeptiembre</v>
      </c>
      <c r="G221" s="1">
        <v>1800</v>
      </c>
      <c r="H221" s="1"/>
    </row>
    <row r="222" spans="1:8" x14ac:dyDescent="0.25">
      <c r="A222" t="s">
        <v>45</v>
      </c>
      <c r="B222" t="s">
        <v>6</v>
      </c>
      <c r="C222" t="str">
        <f t="shared" si="27"/>
        <v>S5Agua</v>
      </c>
      <c r="D222" t="s">
        <v>20</v>
      </c>
      <c r="E222" t="str">
        <f t="shared" si="28"/>
        <v>AguaOctubre</v>
      </c>
      <c r="F222" t="str">
        <f t="shared" si="26"/>
        <v>S5AguaOctubre</v>
      </c>
      <c r="G222" s="1">
        <v>2500</v>
      </c>
      <c r="H222" s="1"/>
    </row>
    <row r="223" spans="1:8" x14ac:dyDescent="0.25">
      <c r="A223" t="s">
        <v>43</v>
      </c>
      <c r="B223" t="s">
        <v>3</v>
      </c>
      <c r="C223" t="str">
        <f t="shared" si="27"/>
        <v>S3Luz</v>
      </c>
      <c r="D223" t="s">
        <v>21</v>
      </c>
      <c r="E223" t="str">
        <f t="shared" si="28"/>
        <v>LuzNoviembre</v>
      </c>
      <c r="F223" t="str">
        <f t="shared" si="26"/>
        <v>S3LuzNoviembre</v>
      </c>
      <c r="G223" s="1">
        <v>2900</v>
      </c>
      <c r="H223" s="1"/>
    </row>
    <row r="224" spans="1:8" x14ac:dyDescent="0.25">
      <c r="A224" t="s">
        <v>42</v>
      </c>
      <c r="B224" t="s">
        <v>3</v>
      </c>
      <c r="C224" t="str">
        <f t="shared" si="27"/>
        <v>S2Luz</v>
      </c>
      <c r="D224" t="s">
        <v>22</v>
      </c>
      <c r="E224" t="str">
        <f t="shared" si="28"/>
        <v>LuzDiciembre</v>
      </c>
      <c r="F224" t="str">
        <f t="shared" si="26"/>
        <v>S2LuzDiciembre</v>
      </c>
      <c r="G224" s="1">
        <v>3400</v>
      </c>
      <c r="H224" s="1"/>
    </row>
    <row r="225" spans="1:8" x14ac:dyDescent="0.25">
      <c r="A225" t="s">
        <v>41</v>
      </c>
      <c r="B225" t="s">
        <v>7</v>
      </c>
      <c r="C225" t="str">
        <f t="shared" si="27"/>
        <v>S1Cable</v>
      </c>
      <c r="D225" t="s">
        <v>8</v>
      </c>
      <c r="E225" t="str">
        <f t="shared" si="28"/>
        <v>CableEnero</v>
      </c>
      <c r="F225" t="str">
        <f t="shared" si="26"/>
        <v>S1CableEnero</v>
      </c>
      <c r="G225" s="1">
        <v>5002</v>
      </c>
      <c r="H225" s="1"/>
    </row>
    <row r="226" spans="1:8" x14ac:dyDescent="0.25">
      <c r="A226" t="s">
        <v>42</v>
      </c>
      <c r="B226" t="s">
        <v>5</v>
      </c>
      <c r="C226" t="str">
        <f t="shared" si="27"/>
        <v>S2Gas</v>
      </c>
      <c r="D226" t="s">
        <v>9</v>
      </c>
      <c r="E226" t="str">
        <f t="shared" si="28"/>
        <v>GasFebrero</v>
      </c>
      <c r="F226" t="str">
        <f t="shared" si="26"/>
        <v>S2GasFebrero</v>
      </c>
      <c r="G226" s="1">
        <v>4005</v>
      </c>
      <c r="H226" s="1"/>
    </row>
    <row r="227" spans="1:8" x14ac:dyDescent="0.25">
      <c r="A227" t="s">
        <v>43</v>
      </c>
      <c r="B227" t="s">
        <v>3</v>
      </c>
      <c r="C227" t="str">
        <f t="shared" si="27"/>
        <v>S3Luz</v>
      </c>
      <c r="D227" t="s">
        <v>10</v>
      </c>
      <c r="E227" t="str">
        <f t="shared" si="28"/>
        <v>LuzMarzo</v>
      </c>
      <c r="F227" t="str">
        <f t="shared" si="26"/>
        <v>S3LuzMarzo</v>
      </c>
      <c r="G227" s="1">
        <v>5200</v>
      </c>
      <c r="H227" s="1"/>
    </row>
    <row r="228" spans="1:8" x14ac:dyDescent="0.25">
      <c r="A228" t="s">
        <v>44</v>
      </c>
      <c r="B228" t="s">
        <v>4</v>
      </c>
      <c r="C228" t="str">
        <f t="shared" si="27"/>
        <v>S4Telefono</v>
      </c>
      <c r="D228" t="s">
        <v>11</v>
      </c>
      <c r="E228" t="str">
        <f t="shared" si="28"/>
        <v>TelefonoAbril</v>
      </c>
      <c r="F228" t="str">
        <f t="shared" si="26"/>
        <v>S4TelefonoAbril</v>
      </c>
      <c r="G228" s="1">
        <v>3500</v>
      </c>
      <c r="H228" s="1"/>
    </row>
    <row r="229" spans="1:8" x14ac:dyDescent="0.25">
      <c r="A229" t="s">
        <v>45</v>
      </c>
      <c r="B229" t="s">
        <v>7</v>
      </c>
      <c r="C229" t="str">
        <f t="shared" si="27"/>
        <v>S5Cable</v>
      </c>
      <c r="D229" t="s">
        <v>14</v>
      </c>
      <c r="E229" t="str">
        <f t="shared" si="28"/>
        <v>CableMayo</v>
      </c>
      <c r="F229" t="str">
        <f t="shared" si="26"/>
        <v>S5CableMayo</v>
      </c>
      <c r="G229" s="1">
        <v>2800</v>
      </c>
      <c r="H229" s="1"/>
    </row>
    <row r="230" spans="1:8" x14ac:dyDescent="0.25">
      <c r="A230" t="s">
        <v>42</v>
      </c>
      <c r="B230" t="s">
        <v>5</v>
      </c>
      <c r="C230" t="str">
        <f t="shared" si="27"/>
        <v>S2Gas</v>
      </c>
      <c r="D230" t="s">
        <v>16</v>
      </c>
      <c r="E230" t="str">
        <f t="shared" si="28"/>
        <v>GasJunio</v>
      </c>
      <c r="F230" t="str">
        <f t="shared" si="26"/>
        <v>S2GasJunio</v>
      </c>
      <c r="G230" s="1">
        <v>1200</v>
      </c>
      <c r="H230" s="1"/>
    </row>
    <row r="231" spans="1:8" x14ac:dyDescent="0.25">
      <c r="A231" t="s">
        <v>41</v>
      </c>
      <c r="B231" t="s">
        <v>6</v>
      </c>
      <c r="C231" t="str">
        <f t="shared" si="27"/>
        <v>S1Agua</v>
      </c>
      <c r="D231" t="s">
        <v>17</v>
      </c>
      <c r="E231" t="str">
        <f t="shared" si="28"/>
        <v>AguaJulio</v>
      </c>
      <c r="F231" t="str">
        <f t="shared" si="26"/>
        <v>S1AguaJulio</v>
      </c>
      <c r="G231" s="1">
        <v>1300</v>
      </c>
      <c r="H231" s="1"/>
    </row>
    <row r="232" spans="1:8" x14ac:dyDescent="0.25">
      <c r="A232" t="s">
        <v>42</v>
      </c>
      <c r="B232" t="s">
        <v>4</v>
      </c>
      <c r="C232" t="str">
        <f t="shared" si="27"/>
        <v>S2Telefono</v>
      </c>
      <c r="D232" t="s">
        <v>18</v>
      </c>
      <c r="E232" t="str">
        <f t="shared" si="28"/>
        <v>TelefonoAgosto</v>
      </c>
      <c r="F232" t="str">
        <f t="shared" si="26"/>
        <v>S2TelefonoAgosto</v>
      </c>
      <c r="G232" s="1">
        <v>3455</v>
      </c>
      <c r="H232" s="1"/>
    </row>
    <row r="233" spans="1:8" x14ac:dyDescent="0.25">
      <c r="A233" t="s">
        <v>42</v>
      </c>
      <c r="B233" t="s">
        <v>3</v>
      </c>
      <c r="C233" t="str">
        <f t="shared" si="27"/>
        <v>S2Luz</v>
      </c>
      <c r="D233" t="s">
        <v>19</v>
      </c>
      <c r="E233" t="str">
        <f t="shared" si="28"/>
        <v>LuzSeptiembre</v>
      </c>
      <c r="F233" t="str">
        <f t="shared" si="26"/>
        <v>S2LuzSeptiembre</v>
      </c>
      <c r="G233" s="1">
        <v>6500</v>
      </c>
      <c r="H233" s="1"/>
    </row>
    <row r="234" spans="1:8" x14ac:dyDescent="0.25">
      <c r="A234" t="s">
        <v>41</v>
      </c>
      <c r="B234" t="s">
        <v>3</v>
      </c>
      <c r="C234" t="str">
        <f>CONCATENATE(A234,B234)</f>
        <v>S1Luz</v>
      </c>
      <c r="D234" t="s">
        <v>20</v>
      </c>
      <c r="E234" t="str">
        <f>CONCATENATE(B234,D234)</f>
        <v>LuzOctubre</v>
      </c>
      <c r="F234" t="str">
        <f t="shared" si="26"/>
        <v>S1LuzOctubre</v>
      </c>
      <c r="G234" s="1">
        <v>2500</v>
      </c>
      <c r="H234" s="1"/>
    </row>
    <row r="235" spans="1:8" x14ac:dyDescent="0.25">
      <c r="A235" t="s">
        <v>41</v>
      </c>
      <c r="B235" t="s">
        <v>3</v>
      </c>
      <c r="C235" t="str">
        <f t="shared" ref="C235:C254" si="29">CONCATENATE(A235,B235)</f>
        <v>S1Luz</v>
      </c>
      <c r="D235" t="s">
        <v>21</v>
      </c>
      <c r="E235" t="str">
        <f t="shared" ref="E235:E254" si="30">CONCATENATE(B235,D235)</f>
        <v>LuzNoviembre</v>
      </c>
      <c r="F235" t="str">
        <f t="shared" si="26"/>
        <v>S1LuzNoviembre</v>
      </c>
      <c r="G235" s="1">
        <v>3200</v>
      </c>
      <c r="H235" s="1"/>
    </row>
    <row r="236" spans="1:8" x14ac:dyDescent="0.25">
      <c r="A236" t="s">
        <v>42</v>
      </c>
      <c r="B236" t="s">
        <v>4</v>
      </c>
      <c r="C236" t="str">
        <f t="shared" si="29"/>
        <v>S2Telefono</v>
      </c>
      <c r="D236" t="s">
        <v>22</v>
      </c>
      <c r="E236" t="str">
        <f t="shared" si="30"/>
        <v>TelefonoDiciembre</v>
      </c>
      <c r="F236" t="str">
        <f t="shared" si="26"/>
        <v>S2TelefonoDiciembre</v>
      </c>
      <c r="G236" s="1">
        <v>5200</v>
      </c>
      <c r="H236" s="1"/>
    </row>
    <row r="237" spans="1:8" x14ac:dyDescent="0.25">
      <c r="A237" t="s">
        <v>43</v>
      </c>
      <c r="B237" t="s">
        <v>5</v>
      </c>
      <c r="C237" t="str">
        <f t="shared" si="29"/>
        <v>S3Gas</v>
      </c>
      <c r="D237" t="s">
        <v>8</v>
      </c>
      <c r="E237" t="str">
        <f t="shared" si="30"/>
        <v>GasEnero</v>
      </c>
      <c r="F237" t="str">
        <f t="shared" si="26"/>
        <v>S3GasEnero</v>
      </c>
      <c r="G237" s="1">
        <v>1800</v>
      </c>
      <c r="H237" s="1"/>
    </row>
    <row r="238" spans="1:8" x14ac:dyDescent="0.25">
      <c r="A238" t="s">
        <v>44</v>
      </c>
      <c r="B238" t="s">
        <v>6</v>
      </c>
      <c r="C238" t="str">
        <f t="shared" si="29"/>
        <v>S4Agua</v>
      </c>
      <c r="D238" t="s">
        <v>9</v>
      </c>
      <c r="E238" t="str">
        <f t="shared" si="30"/>
        <v>AguaFebrero</v>
      </c>
      <c r="F238" t="str">
        <f t="shared" si="26"/>
        <v>S4AguaFebrero</v>
      </c>
      <c r="G238" s="1">
        <v>2500</v>
      </c>
      <c r="H238" s="1"/>
    </row>
    <row r="239" spans="1:8" x14ac:dyDescent="0.25">
      <c r="A239" t="s">
        <v>42</v>
      </c>
      <c r="B239" t="s">
        <v>7</v>
      </c>
      <c r="C239" t="str">
        <f t="shared" si="29"/>
        <v>S2Cable</v>
      </c>
      <c r="D239" t="s">
        <v>10</v>
      </c>
      <c r="E239" t="str">
        <f t="shared" si="30"/>
        <v>CableMarzo</v>
      </c>
      <c r="F239" t="str">
        <f t="shared" si="26"/>
        <v>S2CableMarzo</v>
      </c>
      <c r="G239" s="1">
        <v>3500</v>
      </c>
      <c r="H239" s="1"/>
    </row>
    <row r="240" spans="1:8" x14ac:dyDescent="0.25">
      <c r="A240" t="s">
        <v>43</v>
      </c>
      <c r="B240" t="s">
        <v>4</v>
      </c>
      <c r="C240" t="str">
        <f t="shared" si="29"/>
        <v>S3Telefono</v>
      </c>
      <c r="D240" t="s">
        <v>11</v>
      </c>
      <c r="E240" t="str">
        <f t="shared" si="30"/>
        <v>TelefonoAbril</v>
      </c>
      <c r="F240" t="str">
        <f t="shared" si="26"/>
        <v>S3TelefonoAbril</v>
      </c>
      <c r="G240" s="1">
        <v>6500</v>
      </c>
      <c r="H240" s="1"/>
    </row>
    <row r="241" spans="1:8" x14ac:dyDescent="0.25">
      <c r="A241" t="s">
        <v>41</v>
      </c>
      <c r="B241" t="s">
        <v>4</v>
      </c>
      <c r="C241" t="str">
        <f t="shared" si="29"/>
        <v>S1Telefono</v>
      </c>
      <c r="D241" t="s">
        <v>14</v>
      </c>
      <c r="E241" t="str">
        <f t="shared" si="30"/>
        <v>TelefonoMayo</v>
      </c>
      <c r="F241" t="str">
        <f t="shared" si="26"/>
        <v>S1TelefonoMayo</v>
      </c>
      <c r="G241" s="1">
        <v>1500</v>
      </c>
      <c r="H241" s="1"/>
    </row>
    <row r="242" spans="1:8" x14ac:dyDescent="0.25">
      <c r="A242" t="s">
        <v>42</v>
      </c>
      <c r="B242" t="s">
        <v>5</v>
      </c>
      <c r="C242" t="str">
        <f t="shared" si="29"/>
        <v>S2Gas</v>
      </c>
      <c r="D242" t="s">
        <v>16</v>
      </c>
      <c r="E242" t="str">
        <f t="shared" si="30"/>
        <v>GasJunio</v>
      </c>
      <c r="F242" t="str">
        <f t="shared" si="26"/>
        <v>S2GasJunio</v>
      </c>
      <c r="G242" s="1">
        <v>1800</v>
      </c>
      <c r="H242" s="1"/>
    </row>
    <row r="243" spans="1:8" x14ac:dyDescent="0.25">
      <c r="A243" t="s">
        <v>45</v>
      </c>
      <c r="B243" t="s">
        <v>6</v>
      </c>
      <c r="C243" t="str">
        <f t="shared" si="29"/>
        <v>S5Agua</v>
      </c>
      <c r="D243" t="s">
        <v>17</v>
      </c>
      <c r="E243" t="str">
        <f t="shared" si="30"/>
        <v>AguaJulio</v>
      </c>
      <c r="F243" t="str">
        <f t="shared" si="26"/>
        <v>S5AguaJulio</v>
      </c>
      <c r="G243" s="1">
        <v>2500</v>
      </c>
      <c r="H243" s="1"/>
    </row>
    <row r="244" spans="1:8" x14ac:dyDescent="0.25">
      <c r="A244" t="s">
        <v>44</v>
      </c>
      <c r="B244" t="s">
        <v>3</v>
      </c>
      <c r="C244" t="str">
        <f t="shared" si="29"/>
        <v>S4Luz</v>
      </c>
      <c r="D244" t="s">
        <v>18</v>
      </c>
      <c r="E244" t="str">
        <f t="shared" si="30"/>
        <v>LuzAgosto</v>
      </c>
      <c r="F244" t="str">
        <f t="shared" si="26"/>
        <v>S4LuzAgosto</v>
      </c>
      <c r="G244" s="1">
        <v>2900</v>
      </c>
      <c r="H244" s="1"/>
    </row>
    <row r="245" spans="1:8" x14ac:dyDescent="0.25">
      <c r="A245" t="s">
        <v>42</v>
      </c>
      <c r="B245" t="s">
        <v>3</v>
      </c>
      <c r="C245" t="str">
        <f t="shared" si="29"/>
        <v>S2Luz</v>
      </c>
      <c r="D245" t="s">
        <v>19</v>
      </c>
      <c r="E245" t="str">
        <f t="shared" si="30"/>
        <v>LuzSeptiembre</v>
      </c>
      <c r="F245" t="str">
        <f t="shared" si="26"/>
        <v>S2LuzSeptiembre</v>
      </c>
      <c r="G245" s="1">
        <v>3400</v>
      </c>
      <c r="H245" s="1"/>
    </row>
    <row r="246" spans="1:8" x14ac:dyDescent="0.25">
      <c r="A246" t="s">
        <v>41</v>
      </c>
      <c r="B246" t="s">
        <v>7</v>
      </c>
      <c r="C246" t="str">
        <f t="shared" si="29"/>
        <v>S1Cable</v>
      </c>
      <c r="D246" t="s">
        <v>20</v>
      </c>
      <c r="E246" t="str">
        <f t="shared" si="30"/>
        <v>CableOctubre</v>
      </c>
      <c r="F246" t="str">
        <f t="shared" si="26"/>
        <v>S1CableOctubre</v>
      </c>
      <c r="G246" s="1">
        <v>5002</v>
      </c>
      <c r="H246" s="1"/>
    </row>
    <row r="247" spans="1:8" x14ac:dyDescent="0.25">
      <c r="A247" t="s">
        <v>42</v>
      </c>
      <c r="B247" t="s">
        <v>5</v>
      </c>
      <c r="C247" t="str">
        <f t="shared" si="29"/>
        <v>S2Gas</v>
      </c>
      <c r="D247" t="s">
        <v>21</v>
      </c>
      <c r="E247" t="str">
        <f t="shared" si="30"/>
        <v>GasNoviembre</v>
      </c>
      <c r="F247" t="str">
        <f t="shared" si="26"/>
        <v>S2GasNoviembre</v>
      </c>
      <c r="G247" s="1">
        <v>4005</v>
      </c>
      <c r="H247" s="1"/>
    </row>
    <row r="248" spans="1:8" x14ac:dyDescent="0.25">
      <c r="A248" t="s">
        <v>43</v>
      </c>
      <c r="B248" t="s">
        <v>3</v>
      </c>
      <c r="C248" t="str">
        <f t="shared" si="29"/>
        <v>S3Luz</v>
      </c>
      <c r="D248" t="s">
        <v>22</v>
      </c>
      <c r="E248" t="str">
        <f t="shared" si="30"/>
        <v>LuzDiciembre</v>
      </c>
      <c r="F248" t="str">
        <f t="shared" si="26"/>
        <v>S3LuzDiciembre</v>
      </c>
      <c r="G248" s="1">
        <v>5200</v>
      </c>
      <c r="H248" s="1"/>
    </row>
    <row r="249" spans="1:8" x14ac:dyDescent="0.25">
      <c r="A249" t="s">
        <v>44</v>
      </c>
      <c r="B249" t="s">
        <v>4</v>
      </c>
      <c r="C249" t="str">
        <f t="shared" si="29"/>
        <v>S4Telefono</v>
      </c>
      <c r="D249" t="s">
        <v>8</v>
      </c>
      <c r="E249" t="str">
        <f t="shared" si="30"/>
        <v>TelefonoEnero</v>
      </c>
      <c r="F249" t="str">
        <f t="shared" si="26"/>
        <v>S4TelefonoEnero</v>
      </c>
      <c r="G249" s="1">
        <v>3500</v>
      </c>
      <c r="H249" s="1"/>
    </row>
    <row r="250" spans="1:8" x14ac:dyDescent="0.25">
      <c r="A250" t="s">
        <v>45</v>
      </c>
      <c r="B250" t="s">
        <v>7</v>
      </c>
      <c r="C250" t="str">
        <f t="shared" si="29"/>
        <v>S5Cable</v>
      </c>
      <c r="D250" t="s">
        <v>9</v>
      </c>
      <c r="E250" t="str">
        <f t="shared" si="30"/>
        <v>CableFebrero</v>
      </c>
      <c r="F250" t="str">
        <f t="shared" si="26"/>
        <v>S5CableFebrero</v>
      </c>
      <c r="G250" s="1">
        <v>2800</v>
      </c>
      <c r="H250" s="1"/>
    </row>
    <row r="251" spans="1:8" x14ac:dyDescent="0.25">
      <c r="A251" t="s">
        <v>42</v>
      </c>
      <c r="B251" t="s">
        <v>5</v>
      </c>
      <c r="C251" t="str">
        <f t="shared" si="29"/>
        <v>S2Gas</v>
      </c>
      <c r="D251" t="s">
        <v>10</v>
      </c>
      <c r="E251" t="str">
        <f t="shared" si="30"/>
        <v>GasMarzo</v>
      </c>
      <c r="F251" t="str">
        <f t="shared" si="26"/>
        <v>S2GasMarzo</v>
      </c>
      <c r="G251" s="1">
        <v>1200</v>
      </c>
      <c r="H251" s="1"/>
    </row>
    <row r="252" spans="1:8" x14ac:dyDescent="0.25">
      <c r="A252" t="s">
        <v>41</v>
      </c>
      <c r="B252" t="s">
        <v>6</v>
      </c>
      <c r="C252" t="str">
        <f t="shared" si="29"/>
        <v>S1Agua</v>
      </c>
      <c r="D252" t="s">
        <v>11</v>
      </c>
      <c r="E252" t="str">
        <f t="shared" si="30"/>
        <v>AguaAbril</v>
      </c>
      <c r="F252" t="str">
        <f t="shared" si="26"/>
        <v>S1AguaAbril</v>
      </c>
      <c r="G252" s="1">
        <v>1300</v>
      </c>
      <c r="H252" s="1"/>
    </row>
    <row r="253" spans="1:8" x14ac:dyDescent="0.25">
      <c r="A253" t="s">
        <v>42</v>
      </c>
      <c r="B253" t="s">
        <v>4</v>
      </c>
      <c r="C253" t="str">
        <f t="shared" si="29"/>
        <v>S2Telefono</v>
      </c>
      <c r="D253" t="s">
        <v>14</v>
      </c>
      <c r="E253" t="str">
        <f t="shared" si="30"/>
        <v>TelefonoMayo</v>
      </c>
      <c r="F253" t="str">
        <f t="shared" si="26"/>
        <v>S2TelefonoMayo</v>
      </c>
      <c r="G253" s="1">
        <v>3455</v>
      </c>
      <c r="H253" s="1"/>
    </row>
    <row r="254" spans="1:8" x14ac:dyDescent="0.25">
      <c r="A254" t="s">
        <v>42</v>
      </c>
      <c r="B254" t="s">
        <v>3</v>
      </c>
      <c r="C254" t="str">
        <f t="shared" si="29"/>
        <v>S2Luz</v>
      </c>
      <c r="D254" t="s">
        <v>16</v>
      </c>
      <c r="E254" t="str">
        <f t="shared" si="30"/>
        <v>LuzJunio</v>
      </c>
      <c r="F254" t="str">
        <f t="shared" si="26"/>
        <v>S2LuzJunio</v>
      </c>
      <c r="G254" s="1">
        <v>6500</v>
      </c>
      <c r="H254" s="1"/>
    </row>
    <row r="255" spans="1:8" x14ac:dyDescent="0.25">
      <c r="C255" t="str">
        <f t="shared" ref="C255:C259" si="31">CONCATENATE(A255,B255)</f>
        <v/>
      </c>
      <c r="E255" t="str">
        <f t="shared" ref="E255:E259" si="32">CONCATENATE(B255,D255)</f>
        <v/>
      </c>
      <c r="F255" t="str">
        <f t="shared" si="26"/>
        <v/>
      </c>
    </row>
    <row r="256" spans="1:8" x14ac:dyDescent="0.25">
      <c r="C256" t="str">
        <f t="shared" si="31"/>
        <v/>
      </c>
      <c r="E256" t="str">
        <f t="shared" si="32"/>
        <v/>
      </c>
      <c r="F256" t="str">
        <f t="shared" si="26"/>
        <v/>
      </c>
    </row>
    <row r="257" spans="3:6" x14ac:dyDescent="0.25">
      <c r="C257" t="str">
        <f t="shared" si="31"/>
        <v/>
      </c>
      <c r="E257" t="str">
        <f t="shared" si="32"/>
        <v/>
      </c>
      <c r="F257" t="str">
        <f t="shared" si="26"/>
        <v/>
      </c>
    </row>
    <row r="258" spans="3:6" x14ac:dyDescent="0.25">
      <c r="C258" t="str">
        <f t="shared" si="31"/>
        <v/>
      </c>
      <c r="E258" t="str">
        <f t="shared" si="32"/>
        <v/>
      </c>
      <c r="F258" t="str">
        <f t="shared" si="26"/>
        <v/>
      </c>
    </row>
    <row r="259" spans="3:6" x14ac:dyDescent="0.25">
      <c r="C259" t="str">
        <f t="shared" si="31"/>
        <v/>
      </c>
      <c r="E259" t="str">
        <f t="shared" si="32"/>
        <v/>
      </c>
      <c r="F259" t="str">
        <f t="shared" si="26"/>
        <v/>
      </c>
    </row>
    <row r="260" spans="3:6" x14ac:dyDescent="0.25">
      <c r="C260" t="str">
        <f t="shared" ref="C260:C300" si="33">CONCATENATE(A260,B260)</f>
        <v/>
      </c>
      <c r="E260" t="str">
        <f t="shared" ref="E260:E300" si="34">CONCATENATE(B260,D260)</f>
        <v/>
      </c>
      <c r="F260" t="str">
        <f t="shared" ref="F260:F300" si="35">CONCATENATE(A260,B260,D260)</f>
        <v/>
      </c>
    </row>
    <row r="261" spans="3:6" x14ac:dyDescent="0.25">
      <c r="C261" t="str">
        <f t="shared" si="33"/>
        <v/>
      </c>
      <c r="E261" t="str">
        <f t="shared" si="34"/>
        <v/>
      </c>
      <c r="F261" t="str">
        <f t="shared" si="35"/>
        <v/>
      </c>
    </row>
    <row r="262" spans="3:6" x14ac:dyDescent="0.25">
      <c r="C262" t="str">
        <f t="shared" si="33"/>
        <v/>
      </c>
      <c r="E262" t="str">
        <f t="shared" si="34"/>
        <v/>
      </c>
      <c r="F262" t="str">
        <f t="shared" si="35"/>
        <v/>
      </c>
    </row>
    <row r="263" spans="3:6" x14ac:dyDescent="0.25">
      <c r="C263" t="str">
        <f t="shared" si="33"/>
        <v/>
      </c>
      <c r="E263" t="str">
        <f t="shared" si="34"/>
        <v/>
      </c>
      <c r="F263" t="str">
        <f t="shared" si="35"/>
        <v/>
      </c>
    </row>
    <row r="264" spans="3:6" x14ac:dyDescent="0.25">
      <c r="C264" t="str">
        <f t="shared" si="33"/>
        <v/>
      </c>
      <c r="E264" t="str">
        <f t="shared" si="34"/>
        <v/>
      </c>
      <c r="F264" t="str">
        <f t="shared" si="35"/>
        <v/>
      </c>
    </row>
    <row r="265" spans="3:6" x14ac:dyDescent="0.25">
      <c r="C265" t="str">
        <f t="shared" si="33"/>
        <v/>
      </c>
      <c r="E265" t="str">
        <f t="shared" si="34"/>
        <v/>
      </c>
      <c r="F265" t="str">
        <f t="shared" si="35"/>
        <v/>
      </c>
    </row>
    <row r="266" spans="3:6" x14ac:dyDescent="0.25">
      <c r="C266" t="str">
        <f t="shared" si="33"/>
        <v/>
      </c>
      <c r="E266" t="str">
        <f t="shared" si="34"/>
        <v/>
      </c>
      <c r="F266" t="str">
        <f t="shared" si="35"/>
        <v/>
      </c>
    </row>
    <row r="267" spans="3:6" x14ac:dyDescent="0.25">
      <c r="C267" t="str">
        <f t="shared" si="33"/>
        <v/>
      </c>
      <c r="E267" t="str">
        <f t="shared" si="34"/>
        <v/>
      </c>
      <c r="F267" t="str">
        <f t="shared" si="35"/>
        <v/>
      </c>
    </row>
    <row r="268" spans="3:6" x14ac:dyDescent="0.25">
      <c r="C268" t="str">
        <f t="shared" si="33"/>
        <v/>
      </c>
      <c r="E268" t="str">
        <f t="shared" si="34"/>
        <v/>
      </c>
      <c r="F268" t="str">
        <f t="shared" si="35"/>
        <v/>
      </c>
    </row>
    <row r="269" spans="3:6" x14ac:dyDescent="0.25">
      <c r="C269" t="str">
        <f t="shared" si="33"/>
        <v/>
      </c>
      <c r="E269" t="str">
        <f t="shared" si="34"/>
        <v/>
      </c>
      <c r="F269" t="str">
        <f t="shared" si="35"/>
        <v/>
      </c>
    </row>
    <row r="270" spans="3:6" x14ac:dyDescent="0.25">
      <c r="C270" t="str">
        <f t="shared" si="33"/>
        <v/>
      </c>
      <c r="E270" t="str">
        <f t="shared" si="34"/>
        <v/>
      </c>
      <c r="F270" t="str">
        <f t="shared" si="35"/>
        <v/>
      </c>
    </row>
    <row r="271" spans="3:6" x14ac:dyDescent="0.25">
      <c r="C271" t="str">
        <f t="shared" si="33"/>
        <v/>
      </c>
      <c r="E271" t="str">
        <f t="shared" si="34"/>
        <v/>
      </c>
      <c r="F271" t="str">
        <f t="shared" si="35"/>
        <v/>
      </c>
    </row>
    <row r="272" spans="3:6" x14ac:dyDescent="0.25">
      <c r="C272" t="str">
        <f t="shared" si="33"/>
        <v/>
      </c>
      <c r="E272" t="str">
        <f t="shared" si="34"/>
        <v/>
      </c>
      <c r="F272" t="str">
        <f t="shared" si="35"/>
        <v/>
      </c>
    </row>
    <row r="273" spans="3:6" x14ac:dyDescent="0.25">
      <c r="C273" t="str">
        <f t="shared" si="33"/>
        <v/>
      </c>
      <c r="E273" t="str">
        <f t="shared" si="34"/>
        <v/>
      </c>
      <c r="F273" t="str">
        <f t="shared" si="35"/>
        <v/>
      </c>
    </row>
    <row r="274" spans="3:6" x14ac:dyDescent="0.25">
      <c r="C274" t="str">
        <f t="shared" si="33"/>
        <v/>
      </c>
      <c r="E274" t="str">
        <f t="shared" si="34"/>
        <v/>
      </c>
      <c r="F274" t="str">
        <f t="shared" si="35"/>
        <v/>
      </c>
    </row>
    <row r="275" spans="3:6" x14ac:dyDescent="0.25">
      <c r="C275" t="str">
        <f t="shared" si="33"/>
        <v/>
      </c>
      <c r="E275" t="str">
        <f t="shared" si="34"/>
        <v/>
      </c>
      <c r="F275" t="str">
        <f t="shared" si="35"/>
        <v/>
      </c>
    </row>
    <row r="276" spans="3:6" x14ac:dyDescent="0.25">
      <c r="C276" t="str">
        <f t="shared" si="33"/>
        <v/>
      </c>
      <c r="E276" t="str">
        <f t="shared" si="34"/>
        <v/>
      </c>
      <c r="F276" t="str">
        <f t="shared" si="35"/>
        <v/>
      </c>
    </row>
    <row r="277" spans="3:6" x14ac:dyDescent="0.25">
      <c r="C277" t="str">
        <f t="shared" si="33"/>
        <v/>
      </c>
      <c r="E277" t="str">
        <f t="shared" si="34"/>
        <v/>
      </c>
      <c r="F277" t="str">
        <f t="shared" si="35"/>
        <v/>
      </c>
    </row>
    <row r="278" spans="3:6" x14ac:dyDescent="0.25">
      <c r="C278" t="str">
        <f t="shared" si="33"/>
        <v/>
      </c>
      <c r="E278" t="str">
        <f t="shared" si="34"/>
        <v/>
      </c>
      <c r="F278" t="str">
        <f t="shared" si="35"/>
        <v/>
      </c>
    </row>
    <row r="279" spans="3:6" x14ac:dyDescent="0.25">
      <c r="C279" t="str">
        <f t="shared" si="33"/>
        <v/>
      </c>
      <c r="E279" t="str">
        <f t="shared" si="34"/>
        <v/>
      </c>
      <c r="F279" t="str">
        <f t="shared" si="35"/>
        <v/>
      </c>
    </row>
    <row r="280" spans="3:6" x14ac:dyDescent="0.25">
      <c r="C280" t="str">
        <f t="shared" si="33"/>
        <v/>
      </c>
      <c r="E280" t="str">
        <f t="shared" si="34"/>
        <v/>
      </c>
      <c r="F280" t="str">
        <f t="shared" si="35"/>
        <v/>
      </c>
    </row>
    <row r="281" spans="3:6" x14ac:dyDescent="0.25">
      <c r="C281" t="str">
        <f t="shared" si="33"/>
        <v/>
      </c>
      <c r="E281" t="str">
        <f t="shared" si="34"/>
        <v/>
      </c>
      <c r="F281" t="str">
        <f t="shared" si="35"/>
        <v/>
      </c>
    </row>
    <row r="282" spans="3:6" x14ac:dyDescent="0.25">
      <c r="C282" t="str">
        <f t="shared" si="33"/>
        <v/>
      </c>
      <c r="E282" t="str">
        <f t="shared" si="34"/>
        <v/>
      </c>
      <c r="F282" t="str">
        <f t="shared" si="35"/>
        <v/>
      </c>
    </row>
    <row r="283" spans="3:6" x14ac:dyDescent="0.25">
      <c r="C283" t="str">
        <f t="shared" si="33"/>
        <v/>
      </c>
      <c r="E283" t="str">
        <f t="shared" si="34"/>
        <v/>
      </c>
      <c r="F283" t="str">
        <f t="shared" si="35"/>
        <v/>
      </c>
    </row>
    <row r="284" spans="3:6" x14ac:dyDescent="0.25">
      <c r="C284" t="str">
        <f t="shared" si="33"/>
        <v/>
      </c>
      <c r="E284" t="str">
        <f t="shared" si="34"/>
        <v/>
      </c>
      <c r="F284" t="str">
        <f t="shared" si="35"/>
        <v/>
      </c>
    </row>
    <row r="285" spans="3:6" x14ac:dyDescent="0.25">
      <c r="C285" t="str">
        <f t="shared" si="33"/>
        <v/>
      </c>
      <c r="E285" t="str">
        <f t="shared" si="34"/>
        <v/>
      </c>
      <c r="F285" t="str">
        <f t="shared" si="35"/>
        <v/>
      </c>
    </row>
    <row r="286" spans="3:6" x14ac:dyDescent="0.25">
      <c r="C286" t="str">
        <f t="shared" si="33"/>
        <v/>
      </c>
      <c r="E286" t="str">
        <f t="shared" si="34"/>
        <v/>
      </c>
      <c r="F286" t="str">
        <f t="shared" si="35"/>
        <v/>
      </c>
    </row>
    <row r="287" spans="3:6" x14ac:dyDescent="0.25">
      <c r="C287" t="str">
        <f t="shared" si="33"/>
        <v/>
      </c>
      <c r="E287" t="str">
        <f t="shared" si="34"/>
        <v/>
      </c>
      <c r="F287" t="str">
        <f t="shared" si="35"/>
        <v/>
      </c>
    </row>
    <row r="288" spans="3:6" x14ac:dyDescent="0.25">
      <c r="C288" t="str">
        <f t="shared" si="33"/>
        <v/>
      </c>
      <c r="E288" t="str">
        <f t="shared" si="34"/>
        <v/>
      </c>
      <c r="F288" t="str">
        <f t="shared" si="35"/>
        <v/>
      </c>
    </row>
    <row r="289" spans="3:6" x14ac:dyDescent="0.25">
      <c r="C289" t="str">
        <f t="shared" si="33"/>
        <v/>
      </c>
      <c r="E289" t="str">
        <f t="shared" si="34"/>
        <v/>
      </c>
      <c r="F289" t="str">
        <f t="shared" si="35"/>
        <v/>
      </c>
    </row>
    <row r="290" spans="3:6" x14ac:dyDescent="0.25">
      <c r="C290" t="str">
        <f t="shared" si="33"/>
        <v/>
      </c>
      <c r="E290" t="str">
        <f t="shared" si="34"/>
        <v/>
      </c>
      <c r="F290" t="str">
        <f t="shared" si="35"/>
        <v/>
      </c>
    </row>
    <row r="291" spans="3:6" x14ac:dyDescent="0.25">
      <c r="C291" t="str">
        <f t="shared" si="33"/>
        <v/>
      </c>
      <c r="E291" t="str">
        <f t="shared" si="34"/>
        <v/>
      </c>
      <c r="F291" t="str">
        <f t="shared" si="35"/>
        <v/>
      </c>
    </row>
    <row r="292" spans="3:6" x14ac:dyDescent="0.25">
      <c r="C292" t="str">
        <f t="shared" si="33"/>
        <v/>
      </c>
      <c r="E292" t="str">
        <f t="shared" si="34"/>
        <v/>
      </c>
      <c r="F292" t="str">
        <f t="shared" si="35"/>
        <v/>
      </c>
    </row>
    <row r="293" spans="3:6" x14ac:dyDescent="0.25">
      <c r="C293" t="str">
        <f t="shared" si="33"/>
        <v/>
      </c>
      <c r="E293" t="str">
        <f t="shared" si="34"/>
        <v/>
      </c>
      <c r="F293" t="str">
        <f t="shared" si="35"/>
        <v/>
      </c>
    </row>
    <row r="294" spans="3:6" x14ac:dyDescent="0.25">
      <c r="C294" t="str">
        <f t="shared" si="33"/>
        <v/>
      </c>
      <c r="E294" t="str">
        <f t="shared" si="34"/>
        <v/>
      </c>
      <c r="F294" t="str">
        <f t="shared" si="35"/>
        <v/>
      </c>
    </row>
    <row r="295" spans="3:6" x14ac:dyDescent="0.25">
      <c r="C295" t="str">
        <f t="shared" si="33"/>
        <v/>
      </c>
      <c r="E295" t="str">
        <f t="shared" si="34"/>
        <v/>
      </c>
      <c r="F295" t="str">
        <f t="shared" si="35"/>
        <v/>
      </c>
    </row>
    <row r="296" spans="3:6" x14ac:dyDescent="0.25">
      <c r="C296" t="str">
        <f t="shared" si="33"/>
        <v/>
      </c>
      <c r="E296" t="str">
        <f t="shared" si="34"/>
        <v/>
      </c>
      <c r="F296" t="str">
        <f t="shared" si="35"/>
        <v/>
      </c>
    </row>
    <row r="297" spans="3:6" x14ac:dyDescent="0.25">
      <c r="C297" t="str">
        <f t="shared" si="33"/>
        <v/>
      </c>
      <c r="E297" t="str">
        <f t="shared" si="34"/>
        <v/>
      </c>
      <c r="F297" t="str">
        <f t="shared" si="35"/>
        <v/>
      </c>
    </row>
    <row r="298" spans="3:6" x14ac:dyDescent="0.25">
      <c r="C298" t="str">
        <f t="shared" si="33"/>
        <v/>
      </c>
      <c r="E298" t="str">
        <f t="shared" si="34"/>
        <v/>
      </c>
      <c r="F298" t="str">
        <f t="shared" si="35"/>
        <v/>
      </c>
    </row>
    <row r="299" spans="3:6" x14ac:dyDescent="0.25">
      <c r="C299" t="str">
        <f t="shared" si="33"/>
        <v/>
      </c>
      <c r="E299" t="str">
        <f t="shared" si="34"/>
        <v/>
      </c>
      <c r="F299" t="str">
        <f t="shared" si="35"/>
        <v/>
      </c>
    </row>
    <row r="300" spans="3:6" x14ac:dyDescent="0.25">
      <c r="C300" t="str">
        <f t="shared" si="33"/>
        <v/>
      </c>
      <c r="E300" t="str">
        <f t="shared" si="34"/>
        <v/>
      </c>
      <c r="F300" t="str">
        <f t="shared" si="35"/>
        <v/>
      </c>
    </row>
  </sheetData>
  <phoneticPr fontId="5" type="noConversion"/>
  <conditionalFormatting sqref="M5:M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{6659F80A-B8FB-44F9-A599-32CB51A3DEB8}</x14:id>
        </ext>
      </extLst>
    </cfRule>
  </conditionalFormatting>
  <conditionalFormatting sqref="M17:M2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{40E4213C-4EC7-4330-BE64-27FBA5CBBDE3}</x14:id>
        </ext>
      </extLst>
    </cfRule>
  </conditionalFormatting>
  <conditionalFormatting sqref="M29:M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{6CCF7841-46FA-44D6-9D6C-E05F19D6862A}</x14:id>
        </ext>
      </extLst>
    </cfRule>
  </conditionalFormatting>
  <dataValidations count="3">
    <dataValidation type="list" allowBlank="1" showInputMessage="1" showErrorMessage="1" sqref="M3 M26" xr:uid="{D213F9F1-42D5-4920-9562-C4988B87E30A}">
      <formula1>"Enero,Febrero,Marzo,Abril,Mayo,Junio,Agosto,Septiembre,Octubre,Noviembre,Diciembre"</formula1>
    </dataValidation>
    <dataValidation type="list" allowBlank="1" showInputMessage="1" showErrorMessage="1" sqref="M15" xr:uid="{441BE1B3-347A-4649-AB50-97FE785E1196}">
      <formula1>"S1,S2,S3,S4,S5"</formula1>
    </dataValidation>
    <dataValidation type="list" allowBlank="1" showInputMessage="1" showErrorMessage="1" sqref="M27" xr:uid="{766EA335-4FC2-44B4-B826-8DEC63612EFE}">
      <formula1>"Agua,Cable,Gas,Luz,Telefono"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59F80A-B8FB-44F9-A599-32CB51A3DEB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M5:M9</xm:sqref>
        </x14:conditionalFormatting>
        <x14:conditionalFormatting xmlns:xm="http://schemas.microsoft.com/office/excel/2006/main">
          <x14:cfRule type="dataBar" id="{40E4213C-4EC7-4330-BE64-27FBA5CBBDE3}">
            <x14:dataBar minLength="0" maxLength="100" border="1" direction="rightToLeft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M17:M21</xm:sqref>
        </x14:conditionalFormatting>
        <x14:conditionalFormatting xmlns:xm="http://schemas.microsoft.com/office/excel/2006/main">
          <x14:cfRule type="dataBar" id="{6CCF7841-46FA-44D6-9D6C-E05F19D6862A}">
            <x14:dataBar minLength="0" maxLength="100" border="1" direction="rightToLeft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M29:M33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8993-F552-401A-BDA8-B7A9B455B8E0}">
  <dimension ref="A1:E9"/>
  <sheetViews>
    <sheetView tabSelected="1" topLeftCell="C1" workbookViewId="0">
      <selection activeCell="F13" sqref="F13"/>
    </sheetView>
  </sheetViews>
  <sheetFormatPr baseColWidth="10" defaultRowHeight="15" x14ac:dyDescent="0.25"/>
  <cols>
    <col min="1" max="2" width="0" hidden="1" customWidth="1"/>
    <col min="5" max="5" width="20.7109375" customWidth="1"/>
  </cols>
  <sheetData>
    <row r="1" spans="1:5" x14ac:dyDescent="0.25">
      <c r="D1" t="s">
        <v>52</v>
      </c>
      <c r="E1" t="s">
        <v>11</v>
      </c>
    </row>
    <row r="2" spans="1:5" ht="15.75" thickBot="1" x14ac:dyDescent="0.3">
      <c r="D2" t="s">
        <v>53</v>
      </c>
      <c r="E2" t="s">
        <v>3</v>
      </c>
    </row>
    <row r="3" spans="1:5" ht="15.75" thickBot="1" x14ac:dyDescent="0.3">
      <c r="C3" s="35" t="s">
        <v>40</v>
      </c>
      <c r="D3" s="39" t="s">
        <v>12</v>
      </c>
      <c r="E3" s="36" t="s">
        <v>13</v>
      </c>
    </row>
    <row r="4" spans="1:5" x14ac:dyDescent="0.25">
      <c r="A4" s="28" t="str">
        <f>CONCATENATE(B4,$E$2,$E$1)</f>
        <v>S1LuzAbril</v>
      </c>
      <c r="B4" s="28" t="s">
        <v>41</v>
      </c>
      <c r="C4" s="17" t="s">
        <v>47</v>
      </c>
      <c r="D4" s="18">
        <f>COUNTIF(clave3,A4)</f>
        <v>1</v>
      </c>
      <c r="E4" s="19">
        <f>SUMIF(clave3,A4,importe3)</f>
        <v>2500</v>
      </c>
    </row>
    <row r="5" spans="1:5" x14ac:dyDescent="0.25">
      <c r="A5" s="28" t="str">
        <f t="shared" ref="A5:A8" si="0">CONCATENATE(B5,$E$2,$E$1)</f>
        <v>S2LuzAbril</v>
      </c>
      <c r="B5" s="28" t="s">
        <v>42</v>
      </c>
      <c r="C5" s="4" t="s">
        <v>48</v>
      </c>
      <c r="D5" s="18">
        <f>COUNTIF(clave3,A5)</f>
        <v>1</v>
      </c>
      <c r="E5" s="19">
        <f>SUMIF(clave3,A5,importe3)</f>
        <v>3400</v>
      </c>
    </row>
    <row r="6" spans="1:5" x14ac:dyDescent="0.25">
      <c r="A6" s="28" t="str">
        <f t="shared" si="0"/>
        <v>S3LuzAbril</v>
      </c>
      <c r="B6" s="28" t="s">
        <v>43</v>
      </c>
      <c r="C6" s="4" t="s">
        <v>49</v>
      </c>
      <c r="D6" s="18">
        <f>COUNTIF(clave3,A6)</f>
        <v>1</v>
      </c>
      <c r="E6" s="19">
        <f>SUMIF(clave3,A6,importe3)</f>
        <v>5200</v>
      </c>
    </row>
    <row r="7" spans="1:5" x14ac:dyDescent="0.25">
      <c r="A7" s="28" t="str">
        <f t="shared" si="0"/>
        <v>S4LuzAbril</v>
      </c>
      <c r="B7" s="28" t="s">
        <v>44</v>
      </c>
      <c r="C7" s="4" t="s">
        <v>50</v>
      </c>
      <c r="D7" s="18">
        <f>COUNTIF(clave3,A7)</f>
        <v>1</v>
      </c>
      <c r="E7" s="19">
        <f>SUMIF(clave3,A7,importe3)</f>
        <v>2900</v>
      </c>
    </row>
    <row r="8" spans="1:5" ht="15.75" thickBot="1" x14ac:dyDescent="0.3">
      <c r="A8" s="28" t="str">
        <f t="shared" si="0"/>
        <v>S5LuzAbril</v>
      </c>
      <c r="B8" s="28" t="s">
        <v>45</v>
      </c>
      <c r="C8" s="6" t="s">
        <v>51</v>
      </c>
      <c r="D8" s="18">
        <f>COUNTIF(clave3,A8)</f>
        <v>0</v>
      </c>
      <c r="E8" s="19">
        <f>SUMIF(clave3,A8,importe3)</f>
        <v>0</v>
      </c>
    </row>
    <row r="9" spans="1:5" ht="15.75" thickBot="1" x14ac:dyDescent="0.3">
      <c r="D9" s="40" t="s">
        <v>15</v>
      </c>
      <c r="E9" s="41">
        <f>SUM(E4:E8)</f>
        <v>14000</v>
      </c>
    </row>
  </sheetData>
  <conditionalFormatting sqref="E4:E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{91A0CE71-397E-4283-8AB7-1E7349D3677D}</x14:id>
        </ext>
      </extLst>
    </cfRule>
  </conditionalFormatting>
  <dataValidations count="2">
    <dataValidation type="list" allowBlank="1" showInputMessage="1" showErrorMessage="1" sqref="E2" xr:uid="{A04D1A55-EB15-422B-AE92-DEA5C1CDB81B}">
      <formula1>"Agua,Cable,Gas,Luz,Telefono"</formula1>
    </dataValidation>
    <dataValidation type="list" allowBlank="1" showInputMessage="1" showErrorMessage="1" sqref="E1" xr:uid="{DE84FF07-D134-4A41-8F6A-0044237335DB}">
      <formula1>"Enero,Febrero,Marzo,Abril,Mayo,Junio,Agosto,Septiembre,Octubre,Noviembre,Diciembre"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0CE71-397E-4283-8AB7-1E7349D3677D}">
            <x14:dataBar minLength="0" maxLength="100" border="1" direction="rightToLeft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E4:E8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1283-3668-4353-84E1-E952C7DCFAA2}">
  <dimension ref="A1:J13"/>
  <sheetViews>
    <sheetView topLeftCell="A4" workbookViewId="0">
      <selection activeCell="J11" sqref="J11"/>
    </sheetView>
  </sheetViews>
  <sheetFormatPr baseColWidth="10" defaultRowHeight="15" x14ac:dyDescent="0.25"/>
  <cols>
    <col min="10" max="10" width="24" customWidth="1"/>
  </cols>
  <sheetData>
    <row r="1" spans="1:10" x14ac:dyDescent="0.25">
      <c r="B1" s="1"/>
      <c r="C1" s="1">
        <v>80</v>
      </c>
    </row>
    <row r="2" spans="1:10" ht="15.75" thickBot="1" x14ac:dyDescent="0.3">
      <c r="A2" t="s">
        <v>25</v>
      </c>
      <c r="B2" t="s">
        <v>26</v>
      </c>
      <c r="C2" t="s">
        <v>27</v>
      </c>
      <c r="D2" t="s">
        <v>28</v>
      </c>
    </row>
    <row r="3" spans="1:10" ht="15.75" thickBot="1" x14ac:dyDescent="0.3">
      <c r="A3" t="s">
        <v>29</v>
      </c>
      <c r="B3" s="1">
        <v>800</v>
      </c>
      <c r="C3" t="s">
        <v>30</v>
      </c>
      <c r="D3" s="1">
        <f>IF(C3="SI",B3+$C$1,B3)</f>
        <v>880</v>
      </c>
      <c r="E3" s="2">
        <f>B3+IF(C3="Si",$C$1,0)</f>
        <v>880</v>
      </c>
      <c r="H3" s="29" t="s">
        <v>25</v>
      </c>
      <c r="I3" s="30" t="s">
        <v>12</v>
      </c>
      <c r="J3" s="31" t="s">
        <v>13</v>
      </c>
    </row>
    <row r="4" spans="1:10" x14ac:dyDescent="0.25">
      <c r="A4" t="s">
        <v>29</v>
      </c>
      <c r="B4" s="1">
        <v>800</v>
      </c>
      <c r="C4" t="s">
        <v>31</v>
      </c>
      <c r="D4" s="1">
        <f t="shared" ref="D4:D9" si="0">IF(C4="SI",B4+$C$1,B4)</f>
        <v>800</v>
      </c>
      <c r="E4" s="2">
        <f t="shared" ref="E4:E9" si="1">B4+IF(C4="Si",$C$1,0)</f>
        <v>800</v>
      </c>
      <c r="G4" s="28" t="s">
        <v>32</v>
      </c>
      <c r="H4" s="17" t="s">
        <v>35</v>
      </c>
      <c r="I4" s="18">
        <f>COUNTIF(combo,G4)</f>
        <v>2</v>
      </c>
      <c r="J4" s="19">
        <f>SUMIF(combo,G4,total)</f>
        <v>1480</v>
      </c>
    </row>
    <row r="5" spans="1:10" x14ac:dyDescent="0.25">
      <c r="A5" t="s">
        <v>32</v>
      </c>
      <c r="B5" s="1">
        <v>700</v>
      </c>
      <c r="C5" t="s">
        <v>30</v>
      </c>
      <c r="D5" s="1">
        <f t="shared" si="0"/>
        <v>780</v>
      </c>
      <c r="E5" s="2">
        <f t="shared" si="1"/>
        <v>780</v>
      </c>
      <c r="G5" s="28" t="s">
        <v>29</v>
      </c>
      <c r="H5" s="4" t="s">
        <v>36</v>
      </c>
      <c r="I5" s="3">
        <f>COUNTIF(combo,G5)</f>
        <v>2</v>
      </c>
      <c r="J5" s="5">
        <f>SUMIF(combo,G5,total)</f>
        <v>1680</v>
      </c>
    </row>
    <row r="6" spans="1:10" x14ac:dyDescent="0.25">
      <c r="A6" t="s">
        <v>33</v>
      </c>
      <c r="B6" s="1">
        <v>900</v>
      </c>
      <c r="C6" t="s">
        <v>31</v>
      </c>
      <c r="D6" s="1">
        <f t="shared" si="0"/>
        <v>900</v>
      </c>
      <c r="E6" s="2">
        <f t="shared" si="1"/>
        <v>900</v>
      </c>
      <c r="G6" s="28" t="s">
        <v>33</v>
      </c>
      <c r="H6" s="4" t="s">
        <v>37</v>
      </c>
      <c r="I6" s="3">
        <f>COUNTIF(combo,G6)</f>
        <v>2</v>
      </c>
      <c r="J6" s="5">
        <f>SUMIF(combo,G6,total)</f>
        <v>1800</v>
      </c>
    </row>
    <row r="7" spans="1:10" ht="15.75" thickBot="1" x14ac:dyDescent="0.3">
      <c r="A7" t="s">
        <v>34</v>
      </c>
      <c r="B7" s="1">
        <v>1000</v>
      </c>
      <c r="C7" t="s">
        <v>30</v>
      </c>
      <c r="D7" s="1">
        <f t="shared" si="0"/>
        <v>1080</v>
      </c>
      <c r="E7" s="2">
        <f t="shared" si="1"/>
        <v>1080</v>
      </c>
      <c r="G7" s="28" t="s">
        <v>34</v>
      </c>
      <c r="H7" s="6" t="s">
        <v>38</v>
      </c>
      <c r="I7" s="7">
        <f>COUNTIF(combo,G7)</f>
        <v>1</v>
      </c>
      <c r="J7" s="8">
        <f>SUMIF(combo,G7,total)</f>
        <v>1080</v>
      </c>
    </row>
    <row r="8" spans="1:10" ht="15.75" thickBot="1" x14ac:dyDescent="0.3">
      <c r="A8" t="s">
        <v>32</v>
      </c>
      <c r="B8" s="1">
        <v>700</v>
      </c>
      <c r="C8" t="s">
        <v>31</v>
      </c>
      <c r="D8" s="1">
        <f t="shared" si="0"/>
        <v>700</v>
      </c>
      <c r="E8" s="2">
        <f t="shared" si="1"/>
        <v>700</v>
      </c>
      <c r="I8" s="32" t="s">
        <v>13</v>
      </c>
      <c r="J8" s="33">
        <f>SUM(J4:J7)</f>
        <v>6040</v>
      </c>
    </row>
    <row r="9" spans="1:10" x14ac:dyDescent="0.25">
      <c r="A9" t="s">
        <v>33</v>
      </c>
      <c r="B9" s="1">
        <v>900</v>
      </c>
      <c r="C9" t="s">
        <v>31</v>
      </c>
      <c r="D9" s="1">
        <f t="shared" si="0"/>
        <v>900</v>
      </c>
      <c r="E9" s="2">
        <f t="shared" si="1"/>
        <v>900</v>
      </c>
    </row>
    <row r="10" spans="1:10" ht="15.75" thickBot="1" x14ac:dyDescent="0.3"/>
    <row r="11" spans="1:10" ht="15.75" thickBot="1" x14ac:dyDescent="0.3">
      <c r="H11" s="37" t="s">
        <v>27</v>
      </c>
      <c r="I11" s="38" t="s">
        <v>12</v>
      </c>
    </row>
    <row r="12" spans="1:10" x14ac:dyDescent="0.25">
      <c r="H12" s="17" t="s">
        <v>30</v>
      </c>
      <c r="I12" s="34">
        <f>COUNTIF(agrandado,H12)</f>
        <v>3</v>
      </c>
    </row>
    <row r="13" spans="1:10" ht="15.75" thickBot="1" x14ac:dyDescent="0.3">
      <c r="H13" s="6" t="s">
        <v>31</v>
      </c>
      <c r="I13" s="16">
        <f>COUNTIF(agrandado,H13)</f>
        <v>4</v>
      </c>
    </row>
  </sheetData>
  <phoneticPr fontId="5" type="noConversion"/>
  <conditionalFormatting sqref="J4:J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{DA2BD3DE-904E-4E1C-A582-D646C09E26B0}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2BD3DE-904E-4E1C-A582-D646C09E26B0}">
            <x14:dataBar minLength="0" maxLength="100" border="1" direction="rightToLef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7F26-950E-4D48-9D45-26CFEE0AE993}">
  <dimension ref="A2:I26"/>
  <sheetViews>
    <sheetView workbookViewId="0">
      <selection activeCell="J12" sqref="J12"/>
    </sheetView>
  </sheetViews>
  <sheetFormatPr baseColWidth="10" defaultRowHeight="15" x14ac:dyDescent="0.25"/>
  <cols>
    <col min="3" max="3" width="11.42578125" customWidth="1"/>
    <col min="9" max="9" width="16.5703125" bestFit="1" customWidth="1"/>
  </cols>
  <sheetData>
    <row r="2" spans="1:9" ht="15.75" thickBot="1" x14ac:dyDescent="0.3">
      <c r="A2" t="s">
        <v>0</v>
      </c>
      <c r="B2" t="s">
        <v>23</v>
      </c>
      <c r="C2" t="s">
        <v>24</v>
      </c>
      <c r="D2" t="s">
        <v>2</v>
      </c>
    </row>
    <row r="3" spans="1:9" x14ac:dyDescent="0.25">
      <c r="A3" t="s">
        <v>3</v>
      </c>
      <c r="B3" s="26">
        <v>44198</v>
      </c>
      <c r="C3" s="27">
        <f>MONTH(B3)</f>
        <v>1</v>
      </c>
      <c r="D3" s="1">
        <v>2500</v>
      </c>
      <c r="G3" s="11" t="s">
        <v>0</v>
      </c>
      <c r="H3" s="12" t="s">
        <v>12</v>
      </c>
      <c r="I3" s="13" t="s">
        <v>13</v>
      </c>
    </row>
    <row r="4" spans="1:9" x14ac:dyDescent="0.25">
      <c r="A4" t="s">
        <v>3</v>
      </c>
      <c r="B4" s="26">
        <v>44201</v>
      </c>
      <c r="C4" s="27">
        <f t="shared" ref="C4:C22" si="0">MONTH(B4)</f>
        <v>1</v>
      </c>
      <c r="D4" s="1">
        <v>3200</v>
      </c>
      <c r="G4" s="4" t="s">
        <v>6</v>
      </c>
      <c r="H4" s="3">
        <f>COUNTIF(motivo2,G4)</f>
        <v>3</v>
      </c>
      <c r="I4" s="5">
        <f>SUMIF(motivo2,G4,importe2)</f>
        <v>6300</v>
      </c>
    </row>
    <row r="5" spans="1:9" x14ac:dyDescent="0.25">
      <c r="A5" t="s">
        <v>4</v>
      </c>
      <c r="B5" s="26">
        <v>44202</v>
      </c>
      <c r="C5" s="27">
        <f t="shared" si="0"/>
        <v>1</v>
      </c>
      <c r="D5" s="1">
        <v>5200</v>
      </c>
      <c r="G5" s="4" t="s">
        <v>7</v>
      </c>
      <c r="H5" s="3">
        <f>COUNTIF(motivo2,G5)</f>
        <v>3</v>
      </c>
      <c r="I5" s="5">
        <f>SUMIF(motivo2,G5,importe2)</f>
        <v>11302</v>
      </c>
    </row>
    <row r="6" spans="1:9" x14ac:dyDescent="0.25">
      <c r="A6" t="s">
        <v>5</v>
      </c>
      <c r="B6" s="26">
        <v>44229</v>
      </c>
      <c r="C6" s="27">
        <f t="shared" si="0"/>
        <v>2</v>
      </c>
      <c r="D6" s="1">
        <v>1800</v>
      </c>
      <c r="G6" s="4" t="s">
        <v>5</v>
      </c>
      <c r="H6" s="3">
        <f>COUNTIF(motivo2,G6)</f>
        <v>4</v>
      </c>
      <c r="I6" s="5">
        <f>SUMIF(motivo2,G6,importe2)</f>
        <v>8805</v>
      </c>
    </row>
    <row r="7" spans="1:9" x14ac:dyDescent="0.25">
      <c r="A7" t="s">
        <v>6</v>
      </c>
      <c r="B7" s="26">
        <v>44232</v>
      </c>
      <c r="C7" s="27">
        <f t="shared" si="0"/>
        <v>2</v>
      </c>
      <c r="D7" s="1">
        <v>2500</v>
      </c>
      <c r="G7" s="4" t="s">
        <v>3</v>
      </c>
      <c r="H7" s="3">
        <f>COUNTIF(motivo2,G7)</f>
        <v>5</v>
      </c>
      <c r="I7" s="5">
        <f>SUMIF(motivo2,G7,importe2)</f>
        <v>17200</v>
      </c>
    </row>
    <row r="8" spans="1:9" ht="15.75" thickBot="1" x14ac:dyDescent="0.3">
      <c r="A8" t="s">
        <v>7</v>
      </c>
      <c r="B8" s="26">
        <v>44234</v>
      </c>
      <c r="C8" s="27">
        <f t="shared" si="0"/>
        <v>2</v>
      </c>
      <c r="D8" s="1">
        <v>3500</v>
      </c>
      <c r="G8" s="6" t="s">
        <v>4</v>
      </c>
      <c r="H8" s="3">
        <f>COUNTIF(motivo2,G8)</f>
        <v>5</v>
      </c>
      <c r="I8" s="5">
        <f>SUMIF(motivo2,G8,importe2)</f>
        <v>20155</v>
      </c>
    </row>
    <row r="9" spans="1:9" ht="19.5" thickBot="1" x14ac:dyDescent="0.35">
      <c r="A9" t="s">
        <v>4</v>
      </c>
      <c r="B9" s="26">
        <v>44235</v>
      </c>
      <c r="C9" s="27">
        <f t="shared" si="0"/>
        <v>2</v>
      </c>
      <c r="D9" s="1">
        <v>6500</v>
      </c>
      <c r="H9" s="9" t="s">
        <v>15</v>
      </c>
      <c r="I9" s="10">
        <f>SUM(I4:I8)</f>
        <v>63762</v>
      </c>
    </row>
    <row r="10" spans="1:9" x14ac:dyDescent="0.25">
      <c r="A10" t="s">
        <v>4</v>
      </c>
      <c r="B10" s="26">
        <v>44236</v>
      </c>
      <c r="C10" s="27">
        <f t="shared" si="0"/>
        <v>2</v>
      </c>
      <c r="D10" s="1">
        <v>1500</v>
      </c>
    </row>
    <row r="11" spans="1:9" x14ac:dyDescent="0.25">
      <c r="A11" t="s">
        <v>5</v>
      </c>
      <c r="B11" s="26">
        <v>44237</v>
      </c>
      <c r="C11" s="27">
        <f t="shared" si="0"/>
        <v>2</v>
      </c>
      <c r="D11" s="1">
        <v>1800</v>
      </c>
    </row>
    <row r="12" spans="1:9" ht="15.75" thickBot="1" x14ac:dyDescent="0.3">
      <c r="A12" t="s">
        <v>6</v>
      </c>
      <c r="B12" s="26">
        <v>44241</v>
      </c>
      <c r="C12" s="27">
        <f t="shared" si="0"/>
        <v>2</v>
      </c>
      <c r="D12" s="1">
        <v>2500</v>
      </c>
    </row>
    <row r="13" spans="1:9" ht="15.75" thickBot="1" x14ac:dyDescent="0.3">
      <c r="A13" t="s">
        <v>3</v>
      </c>
      <c r="B13" s="26">
        <v>44256</v>
      </c>
      <c r="C13" s="27">
        <f t="shared" si="0"/>
        <v>3</v>
      </c>
      <c r="D13" s="1">
        <v>2900</v>
      </c>
      <c r="G13" s="20" t="s">
        <v>1</v>
      </c>
      <c r="H13" s="21" t="s">
        <v>12</v>
      </c>
      <c r="I13" s="22" t="s">
        <v>13</v>
      </c>
    </row>
    <row r="14" spans="1:9" x14ac:dyDescent="0.25">
      <c r="A14" t="s">
        <v>3</v>
      </c>
      <c r="B14" s="26">
        <v>44257</v>
      </c>
      <c r="C14" s="27">
        <f t="shared" si="0"/>
        <v>3</v>
      </c>
      <c r="D14" s="1">
        <v>3400</v>
      </c>
      <c r="F14" s="28">
        <v>1</v>
      </c>
      <c r="G14" s="17" t="s">
        <v>8</v>
      </c>
      <c r="H14" s="18">
        <f>COUNTIF(meses,F14)</f>
        <v>3</v>
      </c>
      <c r="I14" s="19">
        <f>SUMIF(meses,F14,importe2)</f>
        <v>10900</v>
      </c>
    </row>
    <row r="15" spans="1:9" x14ac:dyDescent="0.25">
      <c r="A15" t="s">
        <v>7</v>
      </c>
      <c r="B15" s="26">
        <v>44258</v>
      </c>
      <c r="C15" s="27">
        <f t="shared" si="0"/>
        <v>3</v>
      </c>
      <c r="D15" s="1">
        <v>5002</v>
      </c>
      <c r="F15" s="28">
        <v>2</v>
      </c>
      <c r="G15" s="4" t="s">
        <v>9</v>
      </c>
      <c r="H15" s="18">
        <f>COUNTIF(meses,F15)</f>
        <v>7</v>
      </c>
      <c r="I15" s="19">
        <f>SUMIF(meses,F15,importe2)</f>
        <v>20100</v>
      </c>
    </row>
    <row r="16" spans="1:9" x14ac:dyDescent="0.25">
      <c r="A16" t="s">
        <v>5</v>
      </c>
      <c r="B16" s="26">
        <v>44260</v>
      </c>
      <c r="C16" s="27">
        <f t="shared" si="0"/>
        <v>3</v>
      </c>
      <c r="D16" s="1">
        <v>4005</v>
      </c>
      <c r="F16" s="28">
        <v>3</v>
      </c>
      <c r="G16" s="4" t="s">
        <v>10</v>
      </c>
      <c r="H16" s="18">
        <f>COUNTIF(meses,F16)</f>
        <v>4</v>
      </c>
      <c r="I16" s="19">
        <f>SUMIF(meses,F16,importe2)</f>
        <v>15307</v>
      </c>
    </row>
    <row r="17" spans="1:9" x14ac:dyDescent="0.25">
      <c r="A17" t="s">
        <v>3</v>
      </c>
      <c r="B17" s="26">
        <v>44292</v>
      </c>
      <c r="C17" s="27">
        <f t="shared" si="0"/>
        <v>4</v>
      </c>
      <c r="D17" s="1">
        <v>5200</v>
      </c>
      <c r="F17" s="28">
        <v>4</v>
      </c>
      <c r="G17" s="4" t="s">
        <v>11</v>
      </c>
      <c r="H17" s="18">
        <f>COUNTIF(meses,F17)</f>
        <v>2</v>
      </c>
      <c r="I17" s="19">
        <f>SUMIF(meses,F17,importe2)</f>
        <v>8700</v>
      </c>
    </row>
    <row r="18" spans="1:9" x14ac:dyDescent="0.25">
      <c r="A18" t="s">
        <v>4</v>
      </c>
      <c r="B18" s="26">
        <v>44293</v>
      </c>
      <c r="C18" s="27">
        <f t="shared" si="0"/>
        <v>4</v>
      </c>
      <c r="D18" s="1">
        <v>3500</v>
      </c>
      <c r="F18" s="28">
        <v>5</v>
      </c>
      <c r="G18" s="4" t="s">
        <v>14</v>
      </c>
      <c r="H18" s="18">
        <f>COUNTIF(meses,F18)</f>
        <v>4</v>
      </c>
      <c r="I18" s="19">
        <f>SUMIF(meses,F18,importe2)</f>
        <v>8755</v>
      </c>
    </row>
    <row r="19" spans="1:9" x14ac:dyDescent="0.25">
      <c r="A19" t="s">
        <v>7</v>
      </c>
      <c r="B19" s="26">
        <v>44318</v>
      </c>
      <c r="C19" s="27">
        <f t="shared" si="0"/>
        <v>5</v>
      </c>
      <c r="D19" s="1">
        <v>2800</v>
      </c>
      <c r="F19" s="28">
        <v>6</v>
      </c>
      <c r="G19" s="15" t="s">
        <v>16</v>
      </c>
      <c r="H19" s="18">
        <f>COUNTIF(meses,F19)</f>
        <v>0</v>
      </c>
      <c r="I19" s="19">
        <f>SUMIF(meses,F19,importe2)</f>
        <v>0</v>
      </c>
    </row>
    <row r="20" spans="1:9" x14ac:dyDescent="0.25">
      <c r="A20" t="s">
        <v>5</v>
      </c>
      <c r="B20" s="26">
        <v>44319</v>
      </c>
      <c r="C20" s="27">
        <f t="shared" si="0"/>
        <v>5</v>
      </c>
      <c r="D20" s="1">
        <v>1200</v>
      </c>
      <c r="F20" s="28">
        <v>7</v>
      </c>
      <c r="G20" s="4" t="s">
        <v>17</v>
      </c>
      <c r="H20" s="18">
        <f>COUNTIF(meses,F20)</f>
        <v>0</v>
      </c>
      <c r="I20" s="19">
        <f>SUMIF(meses,F20,importe2)</f>
        <v>0</v>
      </c>
    </row>
    <row r="21" spans="1:9" x14ac:dyDescent="0.25">
      <c r="A21" t="s">
        <v>6</v>
      </c>
      <c r="B21" s="26">
        <v>44322</v>
      </c>
      <c r="C21" s="27">
        <f t="shared" si="0"/>
        <v>5</v>
      </c>
      <c r="D21" s="1">
        <v>1300</v>
      </c>
      <c r="F21" s="28">
        <v>8</v>
      </c>
      <c r="G21" s="15" t="s">
        <v>18</v>
      </c>
      <c r="H21" s="18">
        <f>COUNTIF(meses,F21)</f>
        <v>0</v>
      </c>
      <c r="I21" s="19">
        <f>SUMIF(meses,F21,importe2)</f>
        <v>0</v>
      </c>
    </row>
    <row r="22" spans="1:9" x14ac:dyDescent="0.25">
      <c r="A22" t="s">
        <v>4</v>
      </c>
      <c r="B22" s="26">
        <v>44323</v>
      </c>
      <c r="C22" s="27">
        <f t="shared" si="0"/>
        <v>5</v>
      </c>
      <c r="D22" s="1">
        <v>3455</v>
      </c>
      <c r="F22" s="28">
        <v>9</v>
      </c>
      <c r="G22" s="4" t="s">
        <v>19</v>
      </c>
      <c r="H22" s="18">
        <f>COUNTIF(meses,F22)</f>
        <v>0</v>
      </c>
      <c r="I22" s="19">
        <f>SUMIF(meses,F22,importe2)</f>
        <v>0</v>
      </c>
    </row>
    <row r="23" spans="1:9" x14ac:dyDescent="0.25">
      <c r="F23" s="28">
        <v>10</v>
      </c>
      <c r="G23" s="15" t="s">
        <v>20</v>
      </c>
      <c r="H23" s="18">
        <f>COUNTIF(meses,F23)</f>
        <v>0</v>
      </c>
      <c r="I23" s="19">
        <f>SUMIF(meses,F23,importe2)</f>
        <v>0</v>
      </c>
    </row>
    <row r="24" spans="1:9" x14ac:dyDescent="0.25">
      <c r="F24" s="28">
        <v>11</v>
      </c>
      <c r="G24" s="4" t="s">
        <v>21</v>
      </c>
      <c r="H24" s="18">
        <f>COUNTIF(meses,F24)</f>
        <v>0</v>
      </c>
      <c r="I24" s="19">
        <f>SUMIF(meses,F24,importe2)</f>
        <v>0</v>
      </c>
    </row>
    <row r="25" spans="1:9" ht="15.75" thickBot="1" x14ac:dyDescent="0.3">
      <c r="F25" s="28">
        <v>12</v>
      </c>
      <c r="G25" s="14" t="s">
        <v>22</v>
      </c>
      <c r="H25" s="18">
        <f>COUNTIF(meses,F25)</f>
        <v>0</v>
      </c>
      <c r="I25" s="19">
        <f>SUMIF(meses,F25,importe2)</f>
        <v>0</v>
      </c>
    </row>
    <row r="26" spans="1:9" ht="19.5" thickBot="1" x14ac:dyDescent="0.35">
      <c r="H26" s="9" t="s">
        <v>15</v>
      </c>
      <c r="I26" s="10">
        <f>SUM(I14:I25)</f>
        <v>63762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5CF8-0252-4D09-8A58-04CF08890CA4}">
  <dimension ref="A1:C14"/>
  <sheetViews>
    <sheetView workbookViewId="0">
      <selection activeCell="C16" sqref="C16"/>
    </sheetView>
  </sheetViews>
  <sheetFormatPr baseColWidth="10" defaultRowHeight="15" x14ac:dyDescent="0.25"/>
  <cols>
    <col min="3" max="3" width="16.5703125" bestFit="1" customWidth="1"/>
  </cols>
  <sheetData>
    <row r="1" spans="1:3" ht="15.75" thickBot="1" x14ac:dyDescent="0.3">
      <c r="A1" s="23" t="s">
        <v>1</v>
      </c>
      <c r="B1" s="24" t="s">
        <v>12</v>
      </c>
      <c r="C1" s="25" t="s">
        <v>13</v>
      </c>
    </row>
    <row r="2" spans="1:3" x14ac:dyDescent="0.25">
      <c r="A2" s="17" t="s">
        <v>8</v>
      </c>
      <c r="B2" s="18">
        <f>COUNTIF(mes,A2)</f>
        <v>4</v>
      </c>
      <c r="C2" s="19">
        <f>SUMIF(mes,A2,importe)</f>
        <v>12700</v>
      </c>
    </row>
    <row r="3" spans="1:3" x14ac:dyDescent="0.25">
      <c r="A3" s="4" t="s">
        <v>9</v>
      </c>
      <c r="B3" s="3">
        <f>COUNTIF(mes,A3)</f>
        <v>4</v>
      </c>
      <c r="C3" s="19">
        <f>SUMIF(mes,A3,importe)</f>
        <v>14000</v>
      </c>
    </row>
    <row r="4" spans="1:3" x14ac:dyDescent="0.25">
      <c r="A4" s="4" t="s">
        <v>10</v>
      </c>
      <c r="B4" s="3">
        <f>COUNTIF(mes,A4)</f>
        <v>4</v>
      </c>
      <c r="C4" s="19">
        <f>SUMIF(mes,A4,importe)</f>
        <v>10600</v>
      </c>
    </row>
    <row r="5" spans="1:3" x14ac:dyDescent="0.25">
      <c r="A5" s="4" t="s">
        <v>11</v>
      </c>
      <c r="B5" s="3">
        <f>COUNTIF(mes,A5)</f>
        <v>2</v>
      </c>
      <c r="C5" s="19">
        <f>SUMIF(mes,A5,importe)</f>
        <v>9007</v>
      </c>
    </row>
    <row r="6" spans="1:3" x14ac:dyDescent="0.25">
      <c r="A6" s="4" t="s">
        <v>14</v>
      </c>
      <c r="B6" s="3">
        <f>COUNTIF(mes,A6)</f>
        <v>5</v>
      </c>
      <c r="C6" s="19">
        <f>SUMIF(mes,A6,importe)</f>
        <v>14000</v>
      </c>
    </row>
    <row r="7" spans="1:3" x14ac:dyDescent="0.25">
      <c r="A7" s="15" t="s">
        <v>16</v>
      </c>
      <c r="B7" s="3">
        <f>COUNTIF(mes,A7)</f>
        <v>2</v>
      </c>
      <c r="C7" s="19">
        <f>SUMIF(mes,A7,importe)</f>
        <v>9955</v>
      </c>
    </row>
    <row r="8" spans="1:3" x14ac:dyDescent="0.25">
      <c r="A8" s="4" t="s">
        <v>17</v>
      </c>
      <c r="B8" s="3">
        <f>COUNTIF(mes,A8)</f>
        <v>0</v>
      </c>
      <c r="C8" s="19">
        <f>SUMIF(mes,A8,importe)</f>
        <v>0</v>
      </c>
    </row>
    <row r="9" spans="1:3" x14ac:dyDescent="0.25">
      <c r="A9" s="15" t="s">
        <v>18</v>
      </c>
      <c r="B9" s="3">
        <f>COUNTIF(mes,A9)</f>
        <v>0</v>
      </c>
      <c r="C9" s="19">
        <f>SUMIF(mes,A9,importe)</f>
        <v>0</v>
      </c>
    </row>
    <row r="10" spans="1:3" x14ac:dyDescent="0.25">
      <c r="A10" s="4" t="s">
        <v>19</v>
      </c>
      <c r="B10" s="3">
        <f>COUNTIF(mes,A10)</f>
        <v>0</v>
      </c>
      <c r="C10" s="19">
        <f>SUMIF(mes,A10,importe)</f>
        <v>0</v>
      </c>
    </row>
    <row r="11" spans="1:3" x14ac:dyDescent="0.25">
      <c r="A11" s="15" t="s">
        <v>20</v>
      </c>
      <c r="B11" s="3">
        <f>COUNTIF(mes,A11)</f>
        <v>0</v>
      </c>
      <c r="C11" s="19">
        <f>SUMIF(mes,A11,importe)</f>
        <v>0</v>
      </c>
    </row>
    <row r="12" spans="1:3" x14ac:dyDescent="0.25">
      <c r="A12" s="4" t="s">
        <v>21</v>
      </c>
      <c r="B12" s="3">
        <f>COUNTIF(mes,A12)</f>
        <v>0</v>
      </c>
      <c r="C12" s="19">
        <f>SUMIF(mes,A12,importe)</f>
        <v>0</v>
      </c>
    </row>
    <row r="13" spans="1:3" ht="15.75" thickBot="1" x14ac:dyDescent="0.3">
      <c r="A13" s="14" t="s">
        <v>22</v>
      </c>
      <c r="B13" s="7">
        <f>COUNTIF(mes,A13)</f>
        <v>0</v>
      </c>
      <c r="C13" s="19">
        <f>SUMIF(mes,A13,importe)</f>
        <v>0</v>
      </c>
    </row>
    <row r="14" spans="1:3" ht="19.5" thickBot="1" x14ac:dyDescent="0.35">
      <c r="B14" s="9" t="s">
        <v>15</v>
      </c>
      <c r="C14" s="10">
        <f>SUM(C2:C13)</f>
        <v>70262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602D-0EBE-40B3-B082-890A0E626C66}">
  <dimension ref="A1:C7"/>
  <sheetViews>
    <sheetView workbookViewId="0">
      <selection activeCell="C23" sqref="C23"/>
    </sheetView>
  </sheetViews>
  <sheetFormatPr baseColWidth="10" defaultRowHeight="15" x14ac:dyDescent="0.25"/>
  <cols>
    <col min="3" max="3" width="16.5703125" bestFit="1" customWidth="1"/>
  </cols>
  <sheetData>
    <row r="1" spans="1:3" x14ac:dyDescent="0.25">
      <c r="A1" s="11" t="s">
        <v>0</v>
      </c>
      <c r="B1" s="12" t="s">
        <v>12</v>
      </c>
      <c r="C1" s="13" t="s">
        <v>13</v>
      </c>
    </row>
    <row r="2" spans="1:3" x14ac:dyDescent="0.25">
      <c r="A2" s="4" t="s">
        <v>6</v>
      </c>
      <c r="B2" s="3">
        <f>COUNTIF(motivo,A2)</f>
        <v>3</v>
      </c>
      <c r="C2" s="5">
        <f>SUMIF(motivo,A2,importe)</f>
        <v>6300</v>
      </c>
    </row>
    <row r="3" spans="1:3" x14ac:dyDescent="0.25">
      <c r="A3" s="4" t="s">
        <v>7</v>
      </c>
      <c r="B3" s="3">
        <f>COUNTIF(motivo,A3)</f>
        <v>3</v>
      </c>
      <c r="C3" s="5">
        <f>SUMIF(motivo,A3,importe)</f>
        <v>11302</v>
      </c>
    </row>
    <row r="4" spans="1:3" x14ac:dyDescent="0.25">
      <c r="A4" s="4" t="s">
        <v>5</v>
      </c>
      <c r="B4" s="3">
        <f>COUNTIF(motivo,A4)</f>
        <v>4</v>
      </c>
      <c r="C4" s="5">
        <f>SUMIF(motivo,A4,importe)</f>
        <v>8805</v>
      </c>
    </row>
    <row r="5" spans="1:3" x14ac:dyDescent="0.25">
      <c r="A5" s="4" t="s">
        <v>3</v>
      </c>
      <c r="B5" s="3">
        <f>COUNTIF(motivo,A5)</f>
        <v>6</v>
      </c>
      <c r="C5" s="5">
        <f>SUMIF(motivo,A5,importe)</f>
        <v>23700</v>
      </c>
    </row>
    <row r="6" spans="1:3" ht="15.75" thickBot="1" x14ac:dyDescent="0.3">
      <c r="A6" s="6" t="s">
        <v>4</v>
      </c>
      <c r="B6" s="7">
        <f>COUNTIF(motivo,A6)</f>
        <v>5</v>
      </c>
      <c r="C6" s="8">
        <f>SUMIF(motivo,A6,importe)</f>
        <v>20155</v>
      </c>
    </row>
    <row r="7" spans="1:3" ht="19.5" thickBot="1" x14ac:dyDescent="0.35">
      <c r="B7" s="9" t="s">
        <v>15</v>
      </c>
      <c r="C7" s="10">
        <f>SUM(C2:C6)</f>
        <v>70262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13</vt:i4>
      </vt:variant>
    </vt:vector>
  </HeadingPairs>
  <TitlesOfParts>
    <vt:vector size="20" baseType="lpstr">
      <vt:lpstr>Hoja1</vt:lpstr>
      <vt:lpstr>Hoja6</vt:lpstr>
      <vt:lpstr>Hoja8</vt:lpstr>
      <vt:lpstr>Hoja5</vt:lpstr>
      <vt:lpstr>Hoja4</vt:lpstr>
      <vt:lpstr>Hoja3</vt:lpstr>
      <vt:lpstr>Hoja2</vt:lpstr>
      <vt:lpstr>agrandado</vt:lpstr>
      <vt:lpstr>clave</vt:lpstr>
      <vt:lpstr>clave2</vt:lpstr>
      <vt:lpstr>clave3</vt:lpstr>
      <vt:lpstr>combo</vt:lpstr>
      <vt:lpstr>importe</vt:lpstr>
      <vt:lpstr>importe2</vt:lpstr>
      <vt:lpstr>importe3</vt:lpstr>
      <vt:lpstr>mes</vt:lpstr>
      <vt:lpstr>meses</vt:lpstr>
      <vt:lpstr>motivo</vt:lpstr>
      <vt:lpstr>motivo2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2021-11-13T13:08:23Z</dcterms:created>
  <dcterms:modified xsi:type="dcterms:W3CDTF">2021-11-13T15:53:48Z</dcterms:modified>
</cp:coreProperties>
</file>