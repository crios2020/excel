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Fundamentos\"/>
    </mc:Choice>
  </mc:AlternateContent>
  <xr:revisionPtr revIDLastSave="0" documentId="13_ncr:1_{1C4E8282-E35D-49A5-A8B3-689E935F34C4}" xr6:coauthVersionLast="45" xr6:coauthVersionMax="45" xr10:uidLastSave="{00000000-0000-0000-0000-000000000000}"/>
  <bookViews>
    <workbookView xWindow="-120" yWindow="-120" windowWidth="15600" windowHeight="11160" activeTab="6" xr2:uid="{A2A9CB93-C5EB-49BA-A7F2-0534A56F58F0}"/>
  </bookViews>
  <sheets>
    <sheet name="Hoja1" sheetId="1" r:id="rId1"/>
    <sheet name="Hoja3" sheetId="3" r:id="rId2"/>
    <sheet name="Hoja2" sheetId="2" r:id="rId3"/>
    <sheet name="Hoja4" sheetId="4" r:id="rId4"/>
    <sheet name="Hoja5" sheetId="5" r:id="rId5"/>
    <sheet name="Hoja6" sheetId="6" r:id="rId6"/>
    <sheet name="Hoja8" sheetId="8" r:id="rId7"/>
    <sheet name="Hoja7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" i="8" l="1"/>
  <c r="C4" i="8" s="1"/>
  <c r="C6" i="8" s="1"/>
  <c r="A3" i="6"/>
  <c r="A9" i="6" s="1"/>
  <c r="A1" i="6"/>
  <c r="A6" i="6" s="1"/>
  <c r="F22" i="5"/>
  <c r="F23" i="5"/>
  <c r="F24" i="5"/>
  <c r="F25" i="5"/>
  <c r="F26" i="5"/>
  <c r="F27" i="5"/>
  <c r="D23" i="5"/>
  <c r="D24" i="5"/>
  <c r="D25" i="5"/>
  <c r="D26" i="5"/>
  <c r="D27" i="5"/>
  <c r="D22" i="5"/>
  <c r="E3" i="5"/>
  <c r="E4" i="5"/>
  <c r="E5" i="5"/>
  <c r="E6" i="5"/>
  <c r="E7" i="5"/>
  <c r="E8" i="5"/>
  <c r="D3" i="5"/>
  <c r="D4" i="5"/>
  <c r="D5" i="5"/>
  <c r="D6" i="5"/>
  <c r="D7" i="5"/>
  <c r="D8" i="5"/>
  <c r="J3" i="4"/>
  <c r="J4" i="4"/>
  <c r="J5" i="4"/>
  <c r="J6" i="4"/>
  <c r="J7" i="4"/>
  <c r="I3" i="4"/>
  <c r="I4" i="4"/>
  <c r="I5" i="4"/>
  <c r="I6" i="4"/>
  <c r="I7" i="4"/>
  <c r="H4" i="4"/>
  <c r="H5" i="4"/>
  <c r="H6" i="4"/>
  <c r="H7" i="4"/>
  <c r="H3" i="4"/>
  <c r="G4" i="4"/>
  <c r="G5" i="4"/>
  <c r="G6" i="4"/>
  <c r="G7" i="4"/>
  <c r="G3" i="4"/>
  <c r="D3" i="4"/>
  <c r="D4" i="4"/>
  <c r="D5" i="4"/>
  <c r="D6" i="4"/>
  <c r="D7" i="4"/>
  <c r="C3" i="4"/>
  <c r="C4" i="4"/>
  <c r="C5" i="4"/>
  <c r="C6" i="4"/>
  <c r="C7" i="4"/>
  <c r="F3" i="2"/>
  <c r="E4" i="2"/>
  <c r="F4" i="2" s="1"/>
  <c r="E5" i="2"/>
  <c r="F5" i="2" s="1"/>
  <c r="E6" i="2"/>
  <c r="F6" i="2" s="1"/>
  <c r="E3" i="2"/>
  <c r="F22" i="3"/>
  <c r="F23" i="3"/>
  <c r="F24" i="3"/>
  <c r="F25" i="3"/>
  <c r="F26" i="3"/>
  <c r="E22" i="3"/>
  <c r="E27" i="3"/>
  <c r="E12" i="3"/>
  <c r="F12" i="3"/>
  <c r="E23" i="3"/>
  <c r="E24" i="3"/>
  <c r="E25" i="3"/>
  <c r="E26" i="3"/>
  <c r="D26" i="3"/>
  <c r="D25" i="3"/>
  <c r="D24" i="3"/>
  <c r="D23" i="3"/>
  <c r="D22" i="3"/>
  <c r="E13" i="3"/>
  <c r="F13" i="3" s="1"/>
  <c r="E14" i="3"/>
  <c r="F14" i="3" s="1"/>
  <c r="E15" i="3"/>
  <c r="F15" i="3" s="1"/>
  <c r="E16" i="3"/>
  <c r="F16" i="3" s="1"/>
  <c r="E3" i="3"/>
  <c r="D16" i="3"/>
  <c r="D15" i="3"/>
  <c r="D14" i="3"/>
  <c r="D13" i="3"/>
  <c r="D12" i="3"/>
  <c r="D7" i="3"/>
  <c r="D6" i="3"/>
  <c r="D5" i="3"/>
  <c r="D4" i="3"/>
  <c r="D3" i="3"/>
  <c r="D4" i="1"/>
  <c r="D5" i="1"/>
  <c r="D6" i="1"/>
  <c r="D7" i="1"/>
  <c r="D3" i="1"/>
  <c r="B10" i="8" l="1"/>
  <c r="D4" i="8"/>
  <c r="D6" i="8"/>
  <c r="D8" i="8" s="1"/>
  <c r="C9" i="6"/>
  <c r="C7" i="6"/>
  <c r="A15" i="6"/>
  <c r="A14" i="6"/>
  <c r="A11" i="6"/>
  <c r="A10" i="6"/>
  <c r="A8" i="6"/>
  <c r="A7" i="6"/>
  <c r="F3" i="3"/>
  <c r="E4" i="3"/>
  <c r="F4" i="3" s="1"/>
  <c r="E5" i="3"/>
  <c r="F5" i="3" s="1"/>
  <c r="E6" i="3"/>
  <c r="F6" i="3" s="1"/>
  <c r="E7" i="3"/>
  <c r="F7" i="3" s="1"/>
  <c r="E7" i="1"/>
  <c r="F7" i="1" s="1"/>
  <c r="E5" i="1"/>
  <c r="F5" i="1" s="1"/>
  <c r="E4" i="1"/>
  <c r="F4" i="1" s="1"/>
  <c r="E3" i="1"/>
  <c r="F3" i="1" s="1"/>
  <c r="E6" i="1"/>
  <c r="F6" i="1" s="1"/>
  <c r="F17" i="3" l="1"/>
  <c r="F8" i="3"/>
  <c r="F8" i="1"/>
</calcChain>
</file>

<file path=xl/sharedStrings.xml><?xml version="1.0" encoding="utf-8"?>
<sst xmlns="http://schemas.openxmlformats.org/spreadsheetml/2006/main" count="133" uniqueCount="67">
  <si>
    <t>Articulo</t>
  </si>
  <si>
    <t>Precio Unitario</t>
  </si>
  <si>
    <t>Cantidad</t>
  </si>
  <si>
    <t>SubTotal</t>
  </si>
  <si>
    <t>Valor Iva</t>
  </si>
  <si>
    <t>Total</t>
  </si>
  <si>
    <t>a1</t>
  </si>
  <si>
    <t>a2</t>
  </si>
  <si>
    <t>a3</t>
  </si>
  <si>
    <t>a4</t>
  </si>
  <si>
    <t>a5</t>
  </si>
  <si>
    <t>Total:</t>
  </si>
  <si>
    <t>Total + iva</t>
  </si>
  <si>
    <t>Alumno</t>
  </si>
  <si>
    <t>Matias</t>
  </si>
  <si>
    <t>Juan</t>
  </si>
  <si>
    <t>Lorena</t>
  </si>
  <si>
    <t>Karina</t>
  </si>
  <si>
    <t>Matemáticas</t>
  </si>
  <si>
    <t>Historia</t>
  </si>
  <si>
    <t>Geografía</t>
  </si>
  <si>
    <t>Promedio</t>
  </si>
  <si>
    <t>Situación</t>
  </si>
  <si>
    <t>Situación:</t>
  </si>
  <si>
    <t>Si el alumno tiene promedio &gt;=7 esta aprobado sino desaprobado</t>
  </si>
  <si>
    <t>* = SI ( Prueba Logica ; Valor Verdad ; Valor Falso )</t>
  </si>
  <si>
    <t>* =SI (e3&gt;=7; "Aprobado" ; "Desaprobado" )</t>
  </si>
  <si>
    <t>Clientes</t>
  </si>
  <si>
    <t>c1</t>
  </si>
  <si>
    <t>c2</t>
  </si>
  <si>
    <t>c3</t>
  </si>
  <si>
    <t>c4</t>
  </si>
  <si>
    <t>c5</t>
  </si>
  <si>
    <t>Tipo</t>
  </si>
  <si>
    <t>Residencial</t>
  </si>
  <si>
    <t>Comercial</t>
  </si>
  <si>
    <t>Abono</t>
  </si>
  <si>
    <t>Valor x KW</t>
  </si>
  <si>
    <t>Medidor Inicial</t>
  </si>
  <si>
    <t>Medidor final</t>
  </si>
  <si>
    <t>Total KWS</t>
  </si>
  <si>
    <t>Subtotal</t>
  </si>
  <si>
    <t>Impuestos</t>
  </si>
  <si>
    <t>* Abono: Si el cliente es Residencial paga 250 sino 380</t>
  </si>
  <si>
    <t>* Valor KW: Si e cliente es Residencia paga 2,50 sino 4,20</t>
  </si>
  <si>
    <t>* SubTotal: Abono + cantidad Kws * valor x KW</t>
  </si>
  <si>
    <t>Combo</t>
  </si>
  <si>
    <t>Valor</t>
  </si>
  <si>
    <t>Agrandado</t>
  </si>
  <si>
    <t>Total a pagar</t>
  </si>
  <si>
    <t>C2</t>
  </si>
  <si>
    <t>C1</t>
  </si>
  <si>
    <t>C3</t>
  </si>
  <si>
    <t>C4</t>
  </si>
  <si>
    <t>si</t>
  </si>
  <si>
    <t>no</t>
  </si>
  <si>
    <t>Total a pagar: Si el combo esta agrandado debe pagar el valor + 80 sino el valor</t>
  </si>
  <si>
    <t>valor combo+si esta agrandado debe pagar 80 sino 0</t>
  </si>
  <si>
    <t>cupon</t>
  </si>
  <si>
    <t>subtotal</t>
  </si>
  <si>
    <t>ctrol ; Fecha Actual</t>
  </si>
  <si>
    <t>ctrol : Hora Actual</t>
  </si>
  <si>
    <t>Patente</t>
  </si>
  <si>
    <t>entrada</t>
  </si>
  <si>
    <t>salida</t>
  </si>
  <si>
    <t>awe 234</t>
  </si>
  <si>
    <t>fre 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</si>
</sst>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9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0" borderId="1" xfId="0" applyBorder="1"/>
    <xf numFmtId="44" fontId="0" fillId="0" borderId="1" xfId="1" applyNumberFormat="1" applyFont="1" applyBorder="1"/>
    <xf numFmtId="44" fontId="0" fillId="0" borderId="1" xfId="0" applyNumberFormat="1" applyBorder="1"/>
    <xf numFmtId="0" fontId="0" fillId="0" borderId="9" xfId="0" applyBorder="1"/>
    <xf numFmtId="4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4" fontId="0" fillId="0" borderId="15" xfId="1" applyNumberFormat="1" applyFont="1" applyBorder="1"/>
    <xf numFmtId="0" fontId="0" fillId="0" borderId="15" xfId="0" applyBorder="1"/>
    <xf numFmtId="44" fontId="0" fillId="0" borderId="15" xfId="0" applyNumberFormat="1" applyBorder="1"/>
    <xf numFmtId="44" fontId="0" fillId="0" borderId="16" xfId="0" applyNumberFormat="1" applyBorder="1"/>
    <xf numFmtId="0" fontId="2" fillId="2" borderId="17" xfId="0" applyFont="1" applyFill="1" applyBorder="1"/>
    <xf numFmtId="44" fontId="2" fillId="2" borderId="18" xfId="0" applyNumberFormat="1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44" fontId="0" fillId="3" borderId="1" xfId="1" applyFont="1" applyFill="1" applyBorder="1"/>
    <xf numFmtId="0" fontId="0" fillId="3" borderId="1" xfId="0" applyFill="1" applyBorder="1"/>
    <xf numFmtId="44" fontId="0" fillId="3" borderId="6" xfId="1" applyFont="1" applyFill="1" applyBorder="1"/>
    <xf numFmtId="0" fontId="0" fillId="3" borderId="7" xfId="0" applyFill="1" applyBorder="1"/>
    <xf numFmtId="44" fontId="0" fillId="3" borderId="8" xfId="1" applyFont="1" applyFill="1" applyBorder="1"/>
    <xf numFmtId="0" fontId="0" fillId="3" borderId="8" xfId="0" applyFill="1" applyBorder="1"/>
    <xf numFmtId="0" fontId="0" fillId="3" borderId="9" xfId="0" applyFill="1" applyBorder="1"/>
    <xf numFmtId="44" fontId="0" fillId="3" borderId="10" xfId="1" applyFont="1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44" fontId="0" fillId="3" borderId="15" xfId="1" applyFont="1" applyFill="1" applyBorder="1"/>
    <xf numFmtId="0" fontId="0" fillId="3" borderId="15" xfId="0" applyFill="1" applyBorder="1"/>
    <xf numFmtId="44" fontId="0" fillId="3" borderId="16" xfId="1" applyFont="1" applyFill="1" applyBorder="1"/>
    <xf numFmtId="0" fontId="4" fillId="3" borderId="17" xfId="0" applyFont="1" applyFill="1" applyBorder="1"/>
    <xf numFmtId="44" fontId="4" fillId="3" borderId="18" xfId="1" applyFont="1" applyFill="1" applyBorder="1"/>
    <xf numFmtId="44" fontId="0" fillId="3" borderId="19" xfId="1" applyFont="1" applyFill="1" applyBorder="1"/>
    <xf numFmtId="44" fontId="4" fillId="3" borderId="18" xfId="0" applyNumberFormat="1" applyFont="1" applyFill="1" applyBorder="1"/>
    <xf numFmtId="2" fontId="0" fillId="0" borderId="0" xfId="0" applyNumberFormat="1"/>
    <xf numFmtId="0" fontId="0" fillId="0" borderId="0" xfId="0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  <xf numFmtId="20" fontId="0" fillId="0" borderId="0" xfId="0" applyNumberFormat="1"/>
  </cellXfs>
  <cellStyles count="2">
    <cellStyle name="Moneda" xfId="1" builtinId="4"/>
    <cellStyle name="Normal" xfId="0" builtinId="0"/>
  </cellStyles>
  <dxfs count="35">
    <dxf>
      <fill>
        <patternFill>
          <bgColor theme="9" tint="0.79998168889431442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4" formatCode="_-&quot;$&quot;\ * #,##0.00_-;\-&quot;$&quot;\ * #,##0.00_-;_-&quot;$&quot;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\ * #,##0.00_-;\-&quot;$&quot;\ * #,##0.0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$&quot;\ * #,##0.00_-;\-&quot;$&quot;\ * #,##0.0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E3290-1022-4FFB-B81B-5E2664690B2C}" name="Tabla1" displayName="Tabla1" ref="A2:F7" totalsRowShown="0" headerRowDxfId="34" headerRowBorderDxfId="32" tableBorderDxfId="33" totalsRowBorderDxfId="31">
  <autoFilter ref="A2:F7" xr:uid="{8C430200-1FDE-45DF-B339-F3C55F5F5641}"/>
  <tableColumns count="6">
    <tableColumn id="1" xr3:uid="{4FA50C5D-4222-469E-86F1-7C23E0E0B19B}" name="Articulo" dataDxfId="30"/>
    <tableColumn id="2" xr3:uid="{9D1A636B-D65D-46AF-8FC4-62814A63A80E}" name="Precio Unitario" dataDxfId="29" dataCellStyle="Moneda"/>
    <tableColumn id="3" xr3:uid="{4DDD0553-52BC-45A7-B469-9C0CA4C19F8F}" name="Cantidad" dataDxfId="28"/>
    <tableColumn id="4" xr3:uid="{B10A4E68-C2F0-4C1F-9C3A-BB1D5D730961}" name="SubTotal" dataDxfId="27">
      <calculatedColumnFormula>B3*C3</calculatedColumnFormula>
    </tableColumn>
    <tableColumn id="5" xr3:uid="{44DB87F3-D9BC-4D66-90B0-E6D91ACA890C}" name="Valor Iva" dataDxfId="26">
      <calculatedColumnFormula>D3*21%</calculatedColumnFormula>
    </tableColumn>
    <tableColumn id="6" xr3:uid="{007AF586-C31E-489E-BB03-8925936F60BE}" name="Total" dataDxfId="25">
      <calculatedColumnFormula>D3+E3</calculatedColumnFormula>
    </tableColumn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F4ABF5-FEAF-470B-8148-FB9181CB74AD}" name="Tabla3" displayName="Tabla3" ref="A2:F7" totalsRowShown="0" headerRowDxfId="14" dataDxfId="15" headerRowBorderDxfId="23" tableBorderDxfId="24" totalsRowBorderDxfId="22" dataCellStyle="Moneda">
  <autoFilter ref="A2:F7" xr:uid="{64E2CE06-0B92-4915-938D-9DF34FF2D6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5E3C89E-11B1-49AA-82FE-42FC3E84EED8}" name="Articulo" dataDxfId="21"/>
    <tableColumn id="2" xr3:uid="{D096CF40-81E7-458C-A86B-B77A3C5D2A65}" name="Precio Unitario" dataDxfId="20" dataCellStyle="Moneda"/>
    <tableColumn id="3" xr3:uid="{DBEBA1D9-32B2-4A1A-AE69-276E31C036EC}" name="Cantidad" dataDxfId="19"/>
    <tableColumn id="4" xr3:uid="{7E21ABB7-B160-4C8F-AB4F-89B01A9AE2D9}" name="SubTotal" dataDxfId="18" dataCellStyle="Moneda">
      <calculatedColumnFormula>B3*C3</calculatedColumnFormula>
    </tableColumn>
    <tableColumn id="5" xr3:uid="{031D86CF-E611-4DE8-9F67-E80C59A9A0F5}" name="Valor Iva" dataDxfId="17" dataCellStyle="Moneda">
      <calculatedColumnFormula>D3*21%</calculatedColumnFormula>
    </tableColumn>
    <tableColumn id="6" xr3:uid="{5E526E0F-A56F-4C81-8A9A-9C8D64395201}" name="Total" dataDxfId="16" dataCellStyle="Moneda">
      <calculatedColumnFormula>D3+E3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2E5B57-87F2-4242-9E1D-F8D875B4A80D}" name="Tabla35" displayName="Tabla35" ref="A11:F16" totalsRowShown="0" headerRowDxfId="13" dataDxfId="12" headerRowBorderDxfId="10" tableBorderDxfId="11" totalsRowBorderDxfId="9" dataCellStyle="Moneda">
  <autoFilter ref="A11:F16" xr:uid="{0CAE3BDF-12FC-4810-AE69-B5B67B3C5B5C}"/>
  <tableColumns count="6">
    <tableColumn id="1" xr3:uid="{02B7E12F-A82E-4CD6-B41E-932254E4A990}" name="Articulo" dataDxfId="8"/>
    <tableColumn id="2" xr3:uid="{10EB08E3-0438-48B1-B5CC-76758C6F7EB9}" name="Precio Unitario" dataDxfId="7" dataCellStyle="Moneda"/>
    <tableColumn id="3" xr3:uid="{6F06CCE2-FA3B-4245-B18F-D64903A7FD71}" name="Cantidad" dataDxfId="6"/>
    <tableColumn id="4" xr3:uid="{D52EF2B8-33EC-40BF-8F42-0DE5A5305E86}" name="SubTotal" dataDxfId="5" dataCellStyle="Moneda">
      <calculatedColumnFormula>B12*C12</calculatedColumnFormula>
    </tableColumn>
    <tableColumn id="5" xr3:uid="{67E7C581-9AD6-4EFA-AB53-B582DA8D8345}" name="Valor Iva" dataDxfId="4" dataCellStyle="Moneda">
      <calculatedColumnFormula>D12*$E$10</calculatedColumnFormula>
    </tableColumn>
    <tableColumn id="6" xr3:uid="{4903C6EE-AC2E-464C-A559-FD7B1A2D8ABC}" name="Total" dataDxfId="3" dataCellStyle="Moneda">
      <calculatedColumnFormula>D12+E12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211F-54F9-410E-A548-C3ABE46CF830}">
  <dimension ref="A1:F8"/>
  <sheetViews>
    <sheetView workbookViewId="0">
      <selection activeCell="F8" sqref="A1:F8"/>
    </sheetView>
  </sheetViews>
  <sheetFormatPr baseColWidth="10" defaultRowHeight="15" x14ac:dyDescent="0.25"/>
  <cols>
    <col min="2" max="2" width="16.28515625" customWidth="1"/>
    <col min="3" max="3" width="11" customWidth="1"/>
    <col min="4" max="4" width="10.85546875" customWidth="1"/>
  </cols>
  <sheetData>
    <row r="1" spans="1:6" x14ac:dyDescent="0.25">
      <c r="E1" s="1">
        <v>0.21</v>
      </c>
    </row>
    <row r="2" spans="1:6" x14ac:dyDescent="0.25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</row>
    <row r="3" spans="1:6" x14ac:dyDescent="0.25">
      <c r="A3" s="7" t="s">
        <v>6</v>
      </c>
      <c r="B3" s="5">
        <v>25</v>
      </c>
      <c r="C3" s="4">
        <v>10</v>
      </c>
      <c r="D3" s="6">
        <f>B3*C3</f>
        <v>250</v>
      </c>
      <c r="E3" s="6">
        <f>D3*21%</f>
        <v>52.5</v>
      </c>
      <c r="F3" s="8">
        <f>D3+E3</f>
        <v>302.5</v>
      </c>
    </row>
    <row r="4" spans="1:6" x14ac:dyDescent="0.25">
      <c r="A4" s="7" t="s">
        <v>7</v>
      </c>
      <c r="B4" s="5">
        <v>32</v>
      </c>
      <c r="C4" s="4">
        <v>5</v>
      </c>
      <c r="D4" s="6">
        <f t="shared" ref="D4:D7" si="0">B4*C4</f>
        <v>160</v>
      </c>
      <c r="E4" s="6">
        <f t="shared" ref="E4:E7" si="1">D4*21%</f>
        <v>33.6</v>
      </c>
      <c r="F4" s="8">
        <f t="shared" ref="F4:F7" si="2">D4+E4</f>
        <v>193.6</v>
      </c>
    </row>
    <row r="5" spans="1:6" x14ac:dyDescent="0.25">
      <c r="A5" s="7" t="s">
        <v>8</v>
      </c>
      <c r="B5" s="5">
        <v>56</v>
      </c>
      <c r="C5" s="4">
        <v>1</v>
      </c>
      <c r="D5" s="6">
        <f t="shared" si="0"/>
        <v>56</v>
      </c>
      <c r="E5" s="6">
        <f t="shared" si="1"/>
        <v>11.76</v>
      </c>
      <c r="F5" s="8">
        <f t="shared" si="2"/>
        <v>67.760000000000005</v>
      </c>
    </row>
    <row r="6" spans="1:6" x14ac:dyDescent="0.25">
      <c r="A6" s="7" t="s">
        <v>9</v>
      </c>
      <c r="B6" s="5">
        <v>115</v>
      </c>
      <c r="C6" s="4">
        <v>2</v>
      </c>
      <c r="D6" s="6">
        <f t="shared" si="0"/>
        <v>230</v>
      </c>
      <c r="E6" s="6">
        <f t="shared" si="1"/>
        <v>48.3</v>
      </c>
      <c r="F6" s="8">
        <f t="shared" si="2"/>
        <v>278.3</v>
      </c>
    </row>
    <row r="7" spans="1:6" ht="15.75" thickBot="1" x14ac:dyDescent="0.3">
      <c r="A7" s="12" t="s">
        <v>10</v>
      </c>
      <c r="B7" s="13">
        <v>12</v>
      </c>
      <c r="C7" s="14">
        <v>6</v>
      </c>
      <c r="D7" s="15">
        <f t="shared" si="0"/>
        <v>72</v>
      </c>
      <c r="E7" s="15">
        <f t="shared" si="1"/>
        <v>15.12</v>
      </c>
      <c r="F7" s="16">
        <f t="shared" si="2"/>
        <v>87.12</v>
      </c>
    </row>
    <row r="8" spans="1:6" ht="15.75" thickBot="1" x14ac:dyDescent="0.3">
      <c r="E8" s="17" t="s">
        <v>11</v>
      </c>
      <c r="F8" s="18">
        <f>SUM(F3:F7)</f>
        <v>929.28000000000009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FDA4-9C06-46CB-938F-9FD855FC4105}">
  <dimension ref="A1:F27"/>
  <sheetViews>
    <sheetView topLeftCell="A10" workbookViewId="0">
      <selection activeCell="F27" sqref="F27"/>
    </sheetView>
  </sheetViews>
  <sheetFormatPr baseColWidth="10" defaultRowHeight="15" x14ac:dyDescent="0.25"/>
  <cols>
    <col min="2" max="2" width="16.28515625" customWidth="1"/>
    <col min="5" max="5" width="13" bestFit="1" customWidth="1"/>
  </cols>
  <sheetData>
    <row r="1" spans="1:6" x14ac:dyDescent="0.25">
      <c r="E1" s="1">
        <v>0.21</v>
      </c>
    </row>
    <row r="2" spans="1:6" x14ac:dyDescent="0.25">
      <c r="A2" s="31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3" t="s">
        <v>5</v>
      </c>
    </row>
    <row r="3" spans="1:6" x14ac:dyDescent="0.25">
      <c r="A3" s="29" t="s">
        <v>6</v>
      </c>
      <c r="B3" s="23">
        <v>25</v>
      </c>
      <c r="C3" s="24">
        <v>10</v>
      </c>
      <c r="D3" s="23">
        <f>B3*C3</f>
        <v>250</v>
      </c>
      <c r="E3" s="23">
        <f>D3*21%</f>
        <v>52.5</v>
      </c>
      <c r="F3" s="30">
        <f>D3+E3</f>
        <v>302.5</v>
      </c>
    </row>
    <row r="4" spans="1:6" x14ac:dyDescent="0.25">
      <c r="A4" s="29" t="s">
        <v>7</v>
      </c>
      <c r="B4" s="23">
        <v>32</v>
      </c>
      <c r="C4" s="24">
        <v>5</v>
      </c>
      <c r="D4" s="23">
        <f t="shared" ref="D4:D7" si="0">B4*C4</f>
        <v>160</v>
      </c>
      <c r="E4" s="23">
        <f t="shared" ref="E4:E7" si="1">D4*21%</f>
        <v>33.6</v>
      </c>
      <c r="F4" s="30">
        <f t="shared" ref="F4:F7" si="2">D4+E4</f>
        <v>193.6</v>
      </c>
    </row>
    <row r="5" spans="1:6" x14ac:dyDescent="0.25">
      <c r="A5" s="29" t="s">
        <v>8</v>
      </c>
      <c r="B5" s="23">
        <v>56</v>
      </c>
      <c r="C5" s="24">
        <v>1</v>
      </c>
      <c r="D5" s="23">
        <f t="shared" si="0"/>
        <v>56</v>
      </c>
      <c r="E5" s="23">
        <f t="shared" si="1"/>
        <v>11.76</v>
      </c>
      <c r="F5" s="30">
        <f t="shared" si="2"/>
        <v>67.760000000000005</v>
      </c>
    </row>
    <row r="6" spans="1:6" x14ac:dyDescent="0.25">
      <c r="A6" s="29" t="s">
        <v>9</v>
      </c>
      <c r="B6" s="23">
        <v>115</v>
      </c>
      <c r="C6" s="24">
        <v>2</v>
      </c>
      <c r="D6" s="23">
        <f t="shared" si="0"/>
        <v>230</v>
      </c>
      <c r="E6" s="23">
        <f t="shared" si="1"/>
        <v>48.3</v>
      </c>
      <c r="F6" s="30">
        <f t="shared" si="2"/>
        <v>278.3</v>
      </c>
    </row>
    <row r="7" spans="1:6" ht="15.75" thickBot="1" x14ac:dyDescent="0.3">
      <c r="A7" s="34" t="s">
        <v>10</v>
      </c>
      <c r="B7" s="35">
        <v>12</v>
      </c>
      <c r="C7" s="36">
        <v>6</v>
      </c>
      <c r="D7" s="35">
        <f t="shared" si="0"/>
        <v>72</v>
      </c>
      <c r="E7" s="35">
        <f t="shared" si="1"/>
        <v>15.12</v>
      </c>
      <c r="F7" s="37">
        <f t="shared" si="2"/>
        <v>87.12</v>
      </c>
    </row>
    <row r="8" spans="1:6" ht="16.5" thickBot="1" x14ac:dyDescent="0.3">
      <c r="E8" s="38" t="s">
        <v>11</v>
      </c>
      <c r="F8" s="39">
        <f>SUM(F3:F7)</f>
        <v>929.28000000000009</v>
      </c>
    </row>
    <row r="10" spans="1:6" x14ac:dyDescent="0.25">
      <c r="E10" s="1">
        <v>0.21</v>
      </c>
    </row>
    <row r="11" spans="1:6" x14ac:dyDescent="0.25">
      <c r="A11" s="31" t="s">
        <v>0</v>
      </c>
      <c r="B11" s="32" t="s">
        <v>1</v>
      </c>
      <c r="C11" s="32" t="s">
        <v>2</v>
      </c>
      <c r="D11" s="32" t="s">
        <v>3</v>
      </c>
      <c r="E11" s="32" t="s">
        <v>4</v>
      </c>
      <c r="F11" s="33" t="s">
        <v>5</v>
      </c>
    </row>
    <row r="12" spans="1:6" x14ac:dyDescent="0.25">
      <c r="A12" s="29" t="s">
        <v>6</v>
      </c>
      <c r="B12" s="23">
        <v>25</v>
      </c>
      <c r="C12" s="24">
        <v>10</v>
      </c>
      <c r="D12" s="23">
        <f>B12*C12</f>
        <v>250</v>
      </c>
      <c r="E12" s="23">
        <f>D12*$E$10</f>
        <v>52.5</v>
      </c>
      <c r="F12" s="30">
        <f>D12+E12</f>
        <v>302.5</v>
      </c>
    </row>
    <row r="13" spans="1:6" x14ac:dyDescent="0.25">
      <c r="A13" s="29" t="s">
        <v>7</v>
      </c>
      <c r="B13" s="23">
        <v>32</v>
      </c>
      <c r="C13" s="24">
        <v>5</v>
      </c>
      <c r="D13" s="23">
        <f t="shared" ref="D13:D16" si="3">B13*C13</f>
        <v>160</v>
      </c>
      <c r="E13" s="23">
        <f t="shared" ref="E12:E16" si="4">D13*$E$10</f>
        <v>33.6</v>
      </c>
      <c r="F13" s="30">
        <f t="shared" ref="F12:F16" si="5">D13+E13</f>
        <v>193.6</v>
      </c>
    </row>
    <row r="14" spans="1:6" x14ac:dyDescent="0.25">
      <c r="A14" s="29" t="s">
        <v>8</v>
      </c>
      <c r="B14" s="23">
        <v>56</v>
      </c>
      <c r="C14" s="24">
        <v>1</v>
      </c>
      <c r="D14" s="23">
        <f t="shared" si="3"/>
        <v>56</v>
      </c>
      <c r="E14" s="23">
        <f t="shared" si="4"/>
        <v>11.76</v>
      </c>
      <c r="F14" s="30">
        <f t="shared" si="5"/>
        <v>67.760000000000005</v>
      </c>
    </row>
    <row r="15" spans="1:6" x14ac:dyDescent="0.25">
      <c r="A15" s="29" t="s">
        <v>9</v>
      </c>
      <c r="B15" s="23">
        <v>115</v>
      </c>
      <c r="C15" s="24">
        <v>2</v>
      </c>
      <c r="D15" s="23">
        <f t="shared" si="3"/>
        <v>230</v>
      </c>
      <c r="E15" s="23">
        <f t="shared" si="4"/>
        <v>48.3</v>
      </c>
      <c r="F15" s="30">
        <f t="shared" si="5"/>
        <v>278.3</v>
      </c>
    </row>
    <row r="16" spans="1:6" ht="15.75" thickBot="1" x14ac:dyDescent="0.3">
      <c r="A16" s="34" t="s">
        <v>10</v>
      </c>
      <c r="B16" s="35">
        <v>12</v>
      </c>
      <c r="C16" s="36">
        <v>6</v>
      </c>
      <c r="D16" s="35">
        <f t="shared" si="3"/>
        <v>72</v>
      </c>
      <c r="E16" s="23">
        <f t="shared" si="4"/>
        <v>15.12</v>
      </c>
      <c r="F16" s="37">
        <f t="shared" si="5"/>
        <v>87.12</v>
      </c>
    </row>
    <row r="17" spans="1:6" ht="16.5" thickBot="1" x14ac:dyDescent="0.3">
      <c r="E17" s="38" t="s">
        <v>11</v>
      </c>
      <c r="F17" s="39">
        <f>SUM(F12:F16)</f>
        <v>929.28000000000009</v>
      </c>
    </row>
    <row r="20" spans="1:6" ht="15.75" thickBot="1" x14ac:dyDescent="0.3">
      <c r="E20" s="1">
        <v>0.21</v>
      </c>
    </row>
    <row r="21" spans="1:6" x14ac:dyDescent="0.25">
      <c r="A21" s="19" t="s">
        <v>0</v>
      </c>
      <c r="B21" s="20" t="s">
        <v>1</v>
      </c>
      <c r="C21" s="20" t="s">
        <v>2</v>
      </c>
      <c r="D21" s="20" t="s">
        <v>3</v>
      </c>
      <c r="E21" s="21" t="s">
        <v>12</v>
      </c>
    </row>
    <row r="22" spans="1:6" x14ac:dyDescent="0.25">
      <c r="A22" s="22" t="s">
        <v>6</v>
      </c>
      <c r="B22" s="23">
        <v>25</v>
      </c>
      <c r="C22" s="24">
        <v>10</v>
      </c>
      <c r="D22" s="23">
        <f>B22*C22</f>
        <v>250</v>
      </c>
      <c r="E22" s="25">
        <f>D22+$E$20*D22</f>
        <v>302.5</v>
      </c>
      <c r="F22" s="3">
        <f>D22*(1+$E$20)</f>
        <v>302.5</v>
      </c>
    </row>
    <row r="23" spans="1:6" x14ac:dyDescent="0.25">
      <c r="A23" s="22" t="s">
        <v>7</v>
      </c>
      <c r="B23" s="23">
        <v>32</v>
      </c>
      <c r="C23" s="24">
        <v>5</v>
      </c>
      <c r="D23" s="23">
        <f t="shared" ref="D23:D26" si="6">B23*C23</f>
        <v>160</v>
      </c>
      <c r="E23" s="25">
        <f t="shared" ref="E23:E26" si="7">D23+$E$20*D23</f>
        <v>193.6</v>
      </c>
      <c r="F23" s="3">
        <f t="shared" ref="F23:F26" si="8">D23*(1+$E$20)</f>
        <v>193.6</v>
      </c>
    </row>
    <row r="24" spans="1:6" x14ac:dyDescent="0.25">
      <c r="A24" s="22" t="s">
        <v>8</v>
      </c>
      <c r="B24" s="23">
        <v>56</v>
      </c>
      <c r="C24" s="24">
        <v>1</v>
      </c>
      <c r="D24" s="23">
        <f t="shared" si="6"/>
        <v>56</v>
      </c>
      <c r="E24" s="25">
        <f t="shared" si="7"/>
        <v>67.760000000000005</v>
      </c>
      <c r="F24" s="3">
        <f t="shared" si="8"/>
        <v>67.759999999999991</v>
      </c>
    </row>
    <row r="25" spans="1:6" x14ac:dyDescent="0.25">
      <c r="A25" s="22" t="s">
        <v>9</v>
      </c>
      <c r="B25" s="23">
        <v>115</v>
      </c>
      <c r="C25" s="24">
        <v>2</v>
      </c>
      <c r="D25" s="23">
        <f t="shared" si="6"/>
        <v>230</v>
      </c>
      <c r="E25" s="25">
        <f t="shared" si="7"/>
        <v>278.3</v>
      </c>
      <c r="F25" s="3">
        <f t="shared" si="8"/>
        <v>278.3</v>
      </c>
    </row>
    <row r="26" spans="1:6" ht="15.75" thickBot="1" x14ac:dyDescent="0.3">
      <c r="A26" s="26" t="s">
        <v>10</v>
      </c>
      <c r="B26" s="27">
        <v>12</v>
      </c>
      <c r="C26" s="28">
        <v>6</v>
      </c>
      <c r="D26" s="35">
        <f t="shared" si="6"/>
        <v>72</v>
      </c>
      <c r="E26" s="40">
        <f t="shared" si="7"/>
        <v>87.12</v>
      </c>
      <c r="F26" s="3">
        <f t="shared" si="8"/>
        <v>87.12</v>
      </c>
    </row>
    <row r="27" spans="1:6" ht="16.5" thickBot="1" x14ac:dyDescent="0.3">
      <c r="D27" s="38" t="s">
        <v>11</v>
      </c>
      <c r="E27" s="41">
        <f>SUM(E22:E26)</f>
        <v>929.28000000000009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C5B46-3363-4636-8F57-F82D9F21AEA6}">
  <dimension ref="A2:F17"/>
  <sheetViews>
    <sheetView zoomScale="130" zoomScaleNormal="130" workbookViewId="0">
      <selection activeCell="C8" sqref="C8"/>
    </sheetView>
  </sheetViews>
  <sheetFormatPr baseColWidth="10" defaultColWidth="12.28515625" defaultRowHeight="15" x14ac:dyDescent="0.25"/>
  <cols>
    <col min="5" max="5" width="9.7109375" bestFit="1" customWidth="1"/>
  </cols>
  <sheetData>
    <row r="2" spans="1:6" x14ac:dyDescent="0.25">
      <c r="A2" t="s">
        <v>13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  <row r="3" spans="1:6" x14ac:dyDescent="0.25">
      <c r="A3" t="s">
        <v>14</v>
      </c>
      <c r="B3">
        <v>7</v>
      </c>
      <c r="C3">
        <v>9</v>
      </c>
      <c r="D3">
        <v>6</v>
      </c>
      <c r="E3" s="42">
        <f>AVERAGE(B3:D3)</f>
        <v>7.333333333333333</v>
      </c>
      <c r="F3" t="str">
        <f>IF(E3&gt;=7,"Aprobado","Desaprobado")</f>
        <v>Aprobado</v>
      </c>
    </row>
    <row r="4" spans="1:6" x14ac:dyDescent="0.25">
      <c r="A4" t="s">
        <v>15</v>
      </c>
      <c r="B4">
        <v>8</v>
      </c>
      <c r="C4">
        <v>8</v>
      </c>
      <c r="D4">
        <v>5</v>
      </c>
      <c r="E4" s="42">
        <f t="shared" ref="E4:E6" si="0">AVERAGE(B4:D4)</f>
        <v>7</v>
      </c>
      <c r="F4" t="str">
        <f t="shared" ref="F4:F6" si="1">IF(E4&gt;=7,"Aprobado","Desaprobado")</f>
        <v>Aprobado</v>
      </c>
    </row>
    <row r="5" spans="1:6" x14ac:dyDescent="0.25">
      <c r="A5" t="s">
        <v>16</v>
      </c>
      <c r="B5">
        <v>8</v>
      </c>
      <c r="C5">
        <v>5</v>
      </c>
      <c r="D5">
        <v>6</v>
      </c>
      <c r="E5" s="42">
        <f t="shared" si="0"/>
        <v>6.333333333333333</v>
      </c>
      <c r="F5" t="str">
        <f t="shared" si="1"/>
        <v>Desaprobado</v>
      </c>
    </row>
    <row r="6" spans="1:6" x14ac:dyDescent="0.25">
      <c r="A6" t="s">
        <v>17</v>
      </c>
      <c r="B6">
        <v>7</v>
      </c>
      <c r="C6">
        <v>8</v>
      </c>
      <c r="D6">
        <v>7</v>
      </c>
      <c r="E6" s="42">
        <f t="shared" si="0"/>
        <v>7.333333333333333</v>
      </c>
      <c r="F6" t="str">
        <f t="shared" si="1"/>
        <v>Aprobado</v>
      </c>
    </row>
    <row r="10" spans="1:6" x14ac:dyDescent="0.25">
      <c r="A10" t="s">
        <v>23</v>
      </c>
    </row>
    <row r="11" spans="1:6" x14ac:dyDescent="0.25">
      <c r="B11" t="s">
        <v>24</v>
      </c>
    </row>
    <row r="14" spans="1:6" x14ac:dyDescent="0.25">
      <c r="B14" t="s">
        <v>25</v>
      </c>
    </row>
    <row r="17" spans="2:2" x14ac:dyDescent="0.25">
      <c r="B17" t="s">
        <v>26</v>
      </c>
    </row>
  </sheetData>
  <conditionalFormatting sqref="F3:F6">
    <cfRule type="cellIs" dxfId="2" priority="1" operator="equal">
      <formula>"Desaprobado"</formula>
    </cfRule>
    <cfRule type="cellIs" dxfId="1" priority="2" operator="equal">
      <formula>"Aprobado"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DA62-271C-4769-8E83-27FDF6647F6F}">
  <dimension ref="A1:J14"/>
  <sheetViews>
    <sheetView workbookViewId="0">
      <selection activeCell="B15" sqref="B15"/>
    </sheetView>
  </sheetViews>
  <sheetFormatPr baseColWidth="10" defaultRowHeight="15" x14ac:dyDescent="0.25"/>
  <cols>
    <col min="3" max="3" width="9.42578125" bestFit="1" customWidth="1"/>
    <col min="4" max="4" width="9" customWidth="1"/>
    <col min="5" max="5" width="10.28515625" customWidth="1"/>
    <col min="6" max="6" width="9.85546875" customWidth="1"/>
    <col min="7" max="7" width="9.7109375" customWidth="1"/>
    <col min="8" max="8" width="11" bestFit="1" customWidth="1"/>
    <col min="9" max="9" width="10.28515625" bestFit="1" customWidth="1"/>
    <col min="10" max="10" width="11" bestFit="1" customWidth="1"/>
  </cols>
  <sheetData>
    <row r="1" spans="1:10" x14ac:dyDescent="0.25">
      <c r="I1" s="1">
        <v>0.25</v>
      </c>
    </row>
    <row r="2" spans="1:10" s="43" customFormat="1" ht="29.25" customHeight="1" x14ac:dyDescent="0.25">
      <c r="A2" s="43" t="s">
        <v>27</v>
      </c>
      <c r="B2" s="43" t="s">
        <v>33</v>
      </c>
      <c r="C2" s="43" t="s">
        <v>36</v>
      </c>
      <c r="D2" s="43" t="s">
        <v>37</v>
      </c>
      <c r="E2" s="43" t="s">
        <v>38</v>
      </c>
      <c r="F2" s="43" t="s">
        <v>39</v>
      </c>
      <c r="G2" s="43" t="s">
        <v>40</v>
      </c>
      <c r="H2" s="43" t="s">
        <v>41</v>
      </c>
      <c r="I2" s="43" t="s">
        <v>42</v>
      </c>
      <c r="J2" s="43" t="s">
        <v>5</v>
      </c>
    </row>
    <row r="3" spans="1:10" x14ac:dyDescent="0.25">
      <c r="A3" t="s">
        <v>28</v>
      </c>
      <c r="B3" t="s">
        <v>34</v>
      </c>
      <c r="C3" s="2">
        <f>IF(B3="Residencial",250,380)</f>
        <v>250</v>
      </c>
      <c r="D3" s="2">
        <f>IF(B3="Residencial",2.5,4.2)</f>
        <v>2.5</v>
      </c>
      <c r="E3">
        <v>1111</v>
      </c>
      <c r="F3">
        <v>1200</v>
      </c>
      <c r="G3">
        <f>F3-E3</f>
        <v>89</v>
      </c>
      <c r="H3" s="3">
        <f>C3+G3*D3</f>
        <v>472.5</v>
      </c>
      <c r="I3" s="3">
        <f>H3*$I$1</f>
        <v>118.125</v>
      </c>
      <c r="J3" s="3">
        <f>H3+I3</f>
        <v>590.625</v>
      </c>
    </row>
    <row r="4" spans="1:10" x14ac:dyDescent="0.25">
      <c r="A4" t="s">
        <v>29</v>
      </c>
      <c r="B4" t="s">
        <v>35</v>
      </c>
      <c r="C4" s="2">
        <f t="shared" ref="C4:C7" si="0">IF(B4="Residencial",250,380)</f>
        <v>380</v>
      </c>
      <c r="D4" s="2">
        <f t="shared" ref="D4:D7" si="1">IF(B4="Residencial",2.5,4.2)</f>
        <v>4.2</v>
      </c>
      <c r="E4">
        <v>2222</v>
      </c>
      <c r="F4">
        <v>2455</v>
      </c>
      <c r="G4">
        <f t="shared" ref="G4:G7" si="2">F4-E4</f>
        <v>233</v>
      </c>
      <c r="H4" s="3">
        <f t="shared" ref="H4:H7" si="3">C4+G4*D4</f>
        <v>1358.6</v>
      </c>
      <c r="I4" s="3">
        <f t="shared" ref="I4:I7" si="4">H4*$I$1</f>
        <v>339.65</v>
      </c>
      <c r="J4" s="3">
        <f t="shared" ref="J4:J7" si="5">H4+I4</f>
        <v>1698.25</v>
      </c>
    </row>
    <row r="5" spans="1:10" x14ac:dyDescent="0.25">
      <c r="A5" t="s">
        <v>30</v>
      </c>
      <c r="B5" t="s">
        <v>34</v>
      </c>
      <c r="C5" s="2">
        <f t="shared" si="0"/>
        <v>250</v>
      </c>
      <c r="D5" s="2">
        <f t="shared" si="1"/>
        <v>2.5</v>
      </c>
      <c r="E5">
        <v>3333</v>
      </c>
      <c r="F5">
        <v>3555</v>
      </c>
      <c r="G5">
        <f t="shared" si="2"/>
        <v>222</v>
      </c>
      <c r="H5" s="3">
        <f t="shared" si="3"/>
        <v>805</v>
      </c>
      <c r="I5" s="3">
        <f t="shared" si="4"/>
        <v>201.25</v>
      </c>
      <c r="J5" s="3">
        <f t="shared" si="5"/>
        <v>1006.25</v>
      </c>
    </row>
    <row r="6" spans="1:10" x14ac:dyDescent="0.25">
      <c r="A6" t="s">
        <v>31</v>
      </c>
      <c r="B6" t="s">
        <v>35</v>
      </c>
      <c r="C6" s="2">
        <f t="shared" si="0"/>
        <v>380</v>
      </c>
      <c r="D6" s="2">
        <f t="shared" si="1"/>
        <v>4.2</v>
      </c>
      <c r="E6">
        <v>4444</v>
      </c>
      <c r="F6">
        <v>4500</v>
      </c>
      <c r="G6">
        <f t="shared" si="2"/>
        <v>56</v>
      </c>
      <c r="H6" s="3">
        <f t="shared" si="3"/>
        <v>615.20000000000005</v>
      </c>
      <c r="I6" s="3">
        <f t="shared" si="4"/>
        <v>153.80000000000001</v>
      </c>
      <c r="J6" s="3">
        <f t="shared" si="5"/>
        <v>769</v>
      </c>
    </row>
    <row r="7" spans="1:10" x14ac:dyDescent="0.25">
      <c r="A7" t="s">
        <v>32</v>
      </c>
      <c r="B7" t="s">
        <v>34</v>
      </c>
      <c r="C7" s="2">
        <f t="shared" si="0"/>
        <v>250</v>
      </c>
      <c r="D7" s="2">
        <f t="shared" si="1"/>
        <v>2.5</v>
      </c>
      <c r="E7">
        <v>5555</v>
      </c>
      <c r="F7">
        <v>5821</v>
      </c>
      <c r="G7">
        <f t="shared" si="2"/>
        <v>266</v>
      </c>
      <c r="H7" s="3">
        <f t="shared" si="3"/>
        <v>915</v>
      </c>
      <c r="I7" s="3">
        <f t="shared" si="4"/>
        <v>228.75</v>
      </c>
      <c r="J7" s="3">
        <f t="shared" si="5"/>
        <v>1143.75</v>
      </c>
    </row>
    <row r="11" spans="1:10" x14ac:dyDescent="0.25">
      <c r="A11" t="s">
        <v>43</v>
      </c>
    </row>
    <row r="12" spans="1:10" x14ac:dyDescent="0.25">
      <c r="A12" t="s">
        <v>44</v>
      </c>
    </row>
    <row r="14" spans="1:10" x14ac:dyDescent="0.25">
      <c r="A14" t="s">
        <v>45</v>
      </c>
    </row>
  </sheetData>
  <phoneticPr fontId="3" type="noConversion"/>
  <conditionalFormatting sqref="A3:J7">
    <cfRule type="cellIs" dxfId="0" priority="1" operator="equal">
      <formula>"Residencia"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13A3-C44C-44D0-B6BC-1913D3285B8A}">
  <dimension ref="A1:F27"/>
  <sheetViews>
    <sheetView topLeftCell="A13" workbookViewId="0">
      <selection activeCell="F23" sqref="F23"/>
    </sheetView>
  </sheetViews>
  <sheetFormatPr baseColWidth="10" defaultRowHeight="15" x14ac:dyDescent="0.25"/>
  <sheetData>
    <row r="1" spans="1:5" x14ac:dyDescent="0.25">
      <c r="B1" s="2"/>
      <c r="C1" s="2">
        <v>80</v>
      </c>
    </row>
    <row r="2" spans="1:5" x14ac:dyDescent="0.25">
      <c r="A2" t="s">
        <v>46</v>
      </c>
      <c r="B2" t="s">
        <v>47</v>
      </c>
      <c r="C2" t="s">
        <v>48</v>
      </c>
      <c r="D2" t="s">
        <v>49</v>
      </c>
    </row>
    <row r="3" spans="1:5" x14ac:dyDescent="0.25">
      <c r="A3" t="s">
        <v>50</v>
      </c>
      <c r="B3" s="2">
        <v>800</v>
      </c>
      <c r="C3" t="s">
        <v>54</v>
      </c>
      <c r="D3" s="2">
        <f>IF(C3="SI",B3+$C$1,B3)</f>
        <v>880</v>
      </c>
      <c r="E3" s="3">
        <f>B3+IF(C3="Si",$C$1,0)</f>
        <v>880</v>
      </c>
    </row>
    <row r="4" spans="1:5" x14ac:dyDescent="0.25">
      <c r="A4" t="s">
        <v>50</v>
      </c>
      <c r="B4" s="2">
        <v>800</v>
      </c>
      <c r="C4" t="s">
        <v>55</v>
      </c>
      <c r="D4" s="2">
        <f t="shared" ref="D4:D8" si="0">IF(C4="SI",B4+$C$1,B4)</f>
        <v>800</v>
      </c>
      <c r="E4" s="3">
        <f t="shared" ref="E4:E8" si="1">B4+IF(C4="Si",$C$1,0)</f>
        <v>800</v>
      </c>
    </row>
    <row r="5" spans="1:5" x14ac:dyDescent="0.25">
      <c r="A5" t="s">
        <v>51</v>
      </c>
      <c r="B5" s="2">
        <v>700</v>
      </c>
      <c r="C5" t="s">
        <v>54</v>
      </c>
      <c r="D5" s="2">
        <f t="shared" si="0"/>
        <v>780</v>
      </c>
      <c r="E5" s="3">
        <f t="shared" si="1"/>
        <v>780</v>
      </c>
    </row>
    <row r="6" spans="1:5" x14ac:dyDescent="0.25">
      <c r="A6" t="s">
        <v>52</v>
      </c>
      <c r="B6" s="2">
        <v>900</v>
      </c>
      <c r="C6" t="s">
        <v>55</v>
      </c>
      <c r="D6" s="2">
        <f t="shared" si="0"/>
        <v>900</v>
      </c>
      <c r="E6" s="3">
        <f t="shared" si="1"/>
        <v>900</v>
      </c>
    </row>
    <row r="7" spans="1:5" x14ac:dyDescent="0.25">
      <c r="A7" t="s">
        <v>53</v>
      </c>
      <c r="B7" s="2">
        <v>1000</v>
      </c>
      <c r="C7" t="s">
        <v>54</v>
      </c>
      <c r="D7" s="2">
        <f t="shared" si="0"/>
        <v>1080</v>
      </c>
      <c r="E7" s="3">
        <f t="shared" si="1"/>
        <v>1080</v>
      </c>
    </row>
    <row r="8" spans="1:5" x14ac:dyDescent="0.25">
      <c r="A8" t="s">
        <v>51</v>
      </c>
      <c r="B8" s="2">
        <v>700</v>
      </c>
      <c r="C8" t="s">
        <v>55</v>
      </c>
      <c r="D8" s="2">
        <f t="shared" si="0"/>
        <v>700</v>
      </c>
      <c r="E8" s="3">
        <f t="shared" si="1"/>
        <v>700</v>
      </c>
    </row>
    <row r="11" spans="1:5" x14ac:dyDescent="0.25">
      <c r="A11" t="s">
        <v>56</v>
      </c>
    </row>
    <row r="12" spans="1:5" x14ac:dyDescent="0.25">
      <c r="B12" t="s">
        <v>57</v>
      </c>
    </row>
    <row r="20" spans="1:6" x14ac:dyDescent="0.25">
      <c r="B20" s="2"/>
      <c r="C20" s="2">
        <v>80</v>
      </c>
      <c r="E20" s="1">
        <v>0.14000000000000001</v>
      </c>
    </row>
    <row r="21" spans="1:6" x14ac:dyDescent="0.25">
      <c r="A21" t="s">
        <v>46</v>
      </c>
      <c r="B21" t="s">
        <v>47</v>
      </c>
      <c r="C21" t="s">
        <v>48</v>
      </c>
      <c r="D21" t="s">
        <v>59</v>
      </c>
      <c r="E21" t="s">
        <v>58</v>
      </c>
      <c r="F21" t="s">
        <v>49</v>
      </c>
    </row>
    <row r="22" spans="1:6" x14ac:dyDescent="0.25">
      <c r="A22" t="s">
        <v>50</v>
      </c>
      <c r="B22" s="2">
        <v>800</v>
      </c>
      <c r="C22" t="s">
        <v>54</v>
      </c>
      <c r="D22" s="3">
        <f>B22+IF(C22="si",$C$20,0)</f>
        <v>880</v>
      </c>
      <c r="E22" t="s">
        <v>55</v>
      </c>
      <c r="F22" s="3">
        <f>D22-IF(E22="si",D22*$E$20,0)</f>
        <v>880</v>
      </c>
    </row>
    <row r="23" spans="1:6" x14ac:dyDescent="0.25">
      <c r="A23" t="s">
        <v>50</v>
      </c>
      <c r="B23" s="2">
        <v>800</v>
      </c>
      <c r="C23" t="s">
        <v>55</v>
      </c>
      <c r="D23" s="3">
        <f t="shared" ref="D23:D27" si="2">B23+IF(C23="si",$C$20,0)</f>
        <v>800</v>
      </c>
      <c r="E23" t="s">
        <v>55</v>
      </c>
      <c r="F23" s="3">
        <f t="shared" ref="F23:F27" si="3">D23-IF(E23="si",D23*$E$20,0)</f>
        <v>800</v>
      </c>
    </row>
    <row r="24" spans="1:6" x14ac:dyDescent="0.25">
      <c r="A24" t="s">
        <v>51</v>
      </c>
      <c r="B24" s="2">
        <v>700</v>
      </c>
      <c r="C24" t="s">
        <v>54</v>
      </c>
      <c r="D24" s="3">
        <f t="shared" si="2"/>
        <v>780</v>
      </c>
      <c r="E24" t="s">
        <v>54</v>
      </c>
      <c r="F24" s="3">
        <f t="shared" si="3"/>
        <v>670.8</v>
      </c>
    </row>
    <row r="25" spans="1:6" x14ac:dyDescent="0.25">
      <c r="A25" t="s">
        <v>52</v>
      </c>
      <c r="B25" s="2">
        <v>900</v>
      </c>
      <c r="C25" t="s">
        <v>55</v>
      </c>
      <c r="D25" s="3">
        <f t="shared" si="2"/>
        <v>900</v>
      </c>
      <c r="E25" t="s">
        <v>54</v>
      </c>
      <c r="F25" s="3">
        <f t="shared" si="3"/>
        <v>774</v>
      </c>
    </row>
    <row r="26" spans="1:6" x14ac:dyDescent="0.25">
      <c r="A26" t="s">
        <v>53</v>
      </c>
      <c r="B26" s="2">
        <v>1000</v>
      </c>
      <c r="C26" t="s">
        <v>54</v>
      </c>
      <c r="D26" s="3">
        <f t="shared" si="2"/>
        <v>1080</v>
      </c>
      <c r="E26" t="s">
        <v>55</v>
      </c>
      <c r="F26" s="3">
        <f t="shared" si="3"/>
        <v>1080</v>
      </c>
    </row>
    <row r="27" spans="1:6" x14ac:dyDescent="0.25">
      <c r="A27" t="s">
        <v>51</v>
      </c>
      <c r="B27" s="2">
        <v>700</v>
      </c>
      <c r="C27" t="s">
        <v>55</v>
      </c>
      <c r="D27" s="3">
        <f t="shared" si="2"/>
        <v>700</v>
      </c>
      <c r="E27" t="s">
        <v>55</v>
      </c>
      <c r="F27" s="3">
        <f t="shared" si="3"/>
        <v>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9BD9-63E4-40B7-B08A-90C72464EEA2}">
  <dimension ref="A1:F15"/>
  <sheetViews>
    <sheetView workbookViewId="0">
      <selection activeCell="C9" sqref="C9"/>
    </sheetView>
  </sheetViews>
  <sheetFormatPr baseColWidth="10" defaultRowHeight="15" x14ac:dyDescent="0.25"/>
  <cols>
    <col min="1" max="1" width="15.7109375" bestFit="1" customWidth="1"/>
  </cols>
  <sheetData>
    <row r="1" spans="1:6" x14ac:dyDescent="0.25">
      <c r="A1" s="44">
        <f ca="1">TODAY()</f>
        <v>44499</v>
      </c>
      <c r="C1" s="44">
        <v>44499</v>
      </c>
      <c r="F1" t="s">
        <v>60</v>
      </c>
    </row>
    <row r="2" spans="1:6" x14ac:dyDescent="0.25">
      <c r="C2" s="46">
        <v>0.73541666666666661</v>
      </c>
      <c r="F2" t="s">
        <v>61</v>
      </c>
    </row>
    <row r="3" spans="1:6" x14ac:dyDescent="0.25">
      <c r="A3" s="45">
        <f ca="1">NOW()</f>
        <v>44499.744212268517</v>
      </c>
      <c r="C3" s="46"/>
    </row>
    <row r="5" spans="1:6" x14ac:dyDescent="0.25">
      <c r="C5" s="44">
        <v>44594</v>
      </c>
    </row>
    <row r="6" spans="1:6" x14ac:dyDescent="0.25">
      <c r="A6">
        <f ca="1">DAY(A1)</f>
        <v>30</v>
      </c>
    </row>
    <row r="7" spans="1:6" x14ac:dyDescent="0.25">
      <c r="A7">
        <f ca="1">MONTH(A1)</f>
        <v>10</v>
      </c>
      <c r="C7">
        <f ca="1">C5-A1</f>
        <v>95</v>
      </c>
    </row>
    <row r="8" spans="1:6" x14ac:dyDescent="0.25">
      <c r="A8">
        <f ca="1">YEAR(A1)</f>
        <v>2021</v>
      </c>
    </row>
    <row r="9" spans="1:6" x14ac:dyDescent="0.25">
      <c r="A9">
        <f ca="1">HOUR(A3)</f>
        <v>17</v>
      </c>
      <c r="C9" s="44">
        <f ca="1">A1+45</f>
        <v>44544</v>
      </c>
    </row>
    <row r="10" spans="1:6" x14ac:dyDescent="0.25">
      <c r="A10">
        <f ca="1">MINUTE(A3)</f>
        <v>51</v>
      </c>
    </row>
    <row r="11" spans="1:6" x14ac:dyDescent="0.25">
      <c r="A11">
        <f ca="1">SECOND(A3)</f>
        <v>40</v>
      </c>
    </row>
    <row r="14" spans="1:6" x14ac:dyDescent="0.25">
      <c r="A14" s="44">
        <f ca="1">A1+7</f>
        <v>44506</v>
      </c>
    </row>
    <row r="15" spans="1:6" x14ac:dyDescent="0.25">
      <c r="A15" s="44">
        <f ca="1">A1-7</f>
        <v>44492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D30D-ECBF-45C8-9EF0-B4B62DABEF5B}">
  <dimension ref="A1:D10"/>
  <sheetViews>
    <sheetView tabSelected="1" workbookViewId="0">
      <selection activeCell="B12" sqref="B12"/>
    </sheetView>
  </sheetViews>
  <sheetFormatPr baseColWidth="10" defaultRowHeight="15" x14ac:dyDescent="0.25"/>
  <cols>
    <col min="1" max="1" width="11.85546875" bestFit="1" customWidth="1"/>
  </cols>
  <sheetData>
    <row r="1" spans="1:4" x14ac:dyDescent="0.25">
      <c r="A1" s="44">
        <f ca="1">TODAY()</f>
        <v>44499</v>
      </c>
      <c r="C1" s="44">
        <v>26697</v>
      </c>
    </row>
    <row r="4" spans="1:4" x14ac:dyDescent="0.25">
      <c r="C4">
        <f ca="1">A1-C1</f>
        <v>17802</v>
      </c>
      <c r="D4">
        <f ca="1">DAYS360(C1,A1)</f>
        <v>17548</v>
      </c>
    </row>
    <row r="6" spans="1:4" x14ac:dyDescent="0.25">
      <c r="C6">
        <f ca="1">C4/365</f>
        <v>48.772602739726025</v>
      </c>
      <c r="D6">
        <f ca="1">D4/360</f>
        <v>48.744444444444447</v>
      </c>
    </row>
    <row r="8" spans="1:4" x14ac:dyDescent="0.25">
      <c r="D8">
        <f ca="1">INT(D6)</f>
        <v>48</v>
      </c>
    </row>
    <row r="10" spans="1:4" x14ac:dyDescent="0.25">
      <c r="B10">
        <f ca="1">INT(DAYS360(C1,A1)/360)</f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7906-DBCC-47E7-8176-19A3F5848C9D}">
  <dimension ref="A2:C4"/>
  <sheetViews>
    <sheetView workbookViewId="0">
      <selection activeCell="D3" sqref="D3"/>
    </sheetView>
  </sheetViews>
  <sheetFormatPr baseColWidth="10" defaultRowHeight="15" x14ac:dyDescent="0.25"/>
  <sheetData>
    <row r="2" spans="1:3" x14ac:dyDescent="0.25">
      <c r="A2" t="s">
        <v>62</v>
      </c>
      <c r="B2" t="s">
        <v>63</v>
      </c>
      <c r="C2" t="s">
        <v>64</v>
      </c>
    </row>
    <row r="3" spans="1:3" x14ac:dyDescent="0.25">
      <c r="A3" t="s">
        <v>65</v>
      </c>
      <c r="B3" s="46">
        <v>0.73611111111111116</v>
      </c>
      <c r="C3" s="46">
        <v>0.7368055555555556</v>
      </c>
    </row>
    <row r="4" spans="1:3" x14ac:dyDescent="0.25">
      <c r="A4" t="s">
        <v>66</v>
      </c>
      <c r="B4" s="46">
        <v>0.73611111111111116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Hoja3</vt:lpstr>
      <vt:lpstr>Hoja2</vt:lpstr>
      <vt:lpstr>Hoja4</vt:lpstr>
      <vt:lpstr>Hoja5</vt:lpstr>
      <vt:lpstr>Hoja6</vt:lpstr>
      <vt:lpstr>Hoja8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Intercrios</dc:creator>
  <cp:lastModifiedBy>Carlos Intercrios</cp:lastModifiedBy>
  <dcterms:created xsi:type="dcterms:W3CDTF">2021-10-30T13:04:34Z</dcterms:created>
  <dcterms:modified xsi:type="dcterms:W3CDTF">2021-10-30T15:52:56Z</dcterms:modified>
</cp:coreProperties>
</file>