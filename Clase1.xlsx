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Fundamentos\"/>
    </mc:Choice>
  </mc:AlternateContent>
  <xr:revisionPtr revIDLastSave="0" documentId="13_ncr:1_{24057A77-026D-43F1-BE00-07ACEBE24252}" xr6:coauthVersionLast="45" xr6:coauthVersionMax="45" xr10:uidLastSave="{00000000-0000-0000-0000-000000000000}"/>
  <bookViews>
    <workbookView xWindow="-120" yWindow="-120" windowWidth="15600" windowHeight="11160" xr2:uid="{671008D1-D582-4A28-A21B-B081069917FC}"/>
  </bookViews>
  <sheets>
    <sheet name="Enero" sheetId="1" r:id="rId1"/>
    <sheet name="Febrero" sheetId="2" r:id="rId2"/>
    <sheet name="Hoja1" sheetId="4" r:id="rId3"/>
    <sheet name="Hoja2" sheetId="5" r:id="rId4"/>
    <sheet name="Hoja3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4" l="1"/>
  <c r="C12" i="4"/>
  <c r="A16" i="4"/>
  <c r="A17" i="4"/>
  <c r="A14" i="4"/>
  <c r="A12" i="4"/>
  <c r="A11" i="4"/>
  <c r="A7" i="4"/>
  <c r="A10" i="4" s="1"/>
  <c r="A8" i="4" l="1"/>
  <c r="A6" i="4"/>
  <c r="A10" i="2"/>
  <c r="E9" i="4"/>
  <c r="E6" i="4"/>
  <c r="E5" i="4"/>
  <c r="C4" i="4"/>
  <c r="C3" i="4"/>
  <c r="C2" i="4"/>
  <c r="D1" i="4"/>
  <c r="C1" i="4"/>
</calcChain>
</file>

<file path=xl/sharedStrings.xml><?xml version="1.0" encoding="utf-8"?>
<sst xmlns="http://schemas.openxmlformats.org/spreadsheetml/2006/main" count="288" uniqueCount="118">
  <si>
    <t>Curso: Excel Fundamentos 12 hs</t>
  </si>
  <si>
    <t>Días: Sábado 10:00 a 13:00 hs</t>
  </si>
  <si>
    <t>Profe: Carlos Ríos</t>
  </si>
  <si>
    <t>carlos.rios@educacionit.com</t>
  </si>
  <si>
    <t>Materiales:</t>
  </si>
  <si>
    <t>alumni.educacionit.com</t>
  </si>
  <si>
    <t>user: email</t>
  </si>
  <si>
    <t>pass: dni</t>
  </si>
  <si>
    <t>alumnos@educacionit.com</t>
  </si>
  <si>
    <t>github:</t>
  </si>
  <si>
    <t>https://github.com/crios2020/excel</t>
  </si>
  <si>
    <t>Memoria RAM</t>
  </si>
  <si>
    <t>Disco Duro</t>
  </si>
  <si>
    <t>Veloz</t>
  </si>
  <si>
    <t>Lento</t>
  </si>
  <si>
    <t>Volatil</t>
  </si>
  <si>
    <t>Persistente</t>
  </si>
  <si>
    <t>Muy Caro</t>
  </si>
  <si>
    <t>Económico</t>
  </si>
  <si>
    <t>C10</t>
  </si>
  <si>
    <t>G15</t>
  </si>
  <si>
    <t>H4</t>
  </si>
  <si>
    <t>A1</t>
  </si>
  <si>
    <t>XFD1048576</t>
  </si>
  <si>
    <t>D10:H15</t>
  </si>
  <si>
    <t>F4:K19</t>
  </si>
  <si>
    <t>K19:F4</t>
  </si>
  <si>
    <t>F19:K4</t>
  </si>
  <si>
    <t>K4:F19</t>
  </si>
  <si>
    <t>I8:L18</t>
  </si>
  <si>
    <t>L18:I8</t>
  </si>
  <si>
    <t>D1:D1048576</t>
  </si>
  <si>
    <t>A5:XFD5</t>
  </si>
  <si>
    <t>A1:XFD1048576</t>
  </si>
  <si>
    <t>Lunes</t>
  </si>
  <si>
    <t>Martes</t>
  </si>
  <si>
    <t>Miércoles</t>
  </si>
  <si>
    <t>Jueves</t>
  </si>
  <si>
    <t>Viernes</t>
  </si>
  <si>
    <t>Sábado</t>
  </si>
  <si>
    <t>Domingo</t>
  </si>
  <si>
    <t>Excel</t>
  </si>
  <si>
    <t>Lun</t>
  </si>
  <si>
    <t>Mar.</t>
  </si>
  <si>
    <t>Mié.</t>
  </si>
  <si>
    <t>Jue.</t>
  </si>
  <si>
    <t>Vie.</t>
  </si>
  <si>
    <t>Sáb.</t>
  </si>
  <si>
    <t>Dom.</t>
  </si>
  <si>
    <t>Lun.</t>
  </si>
  <si>
    <t>Lu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</si>
  <si>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</si>
  <si>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</si>
  <si>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</si>
  <si>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</si>
  <si>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</si>
  <si>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</si>
  <si>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</si>
  <si>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</si>
  <si>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</si>
  <si>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</si>
  <si>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</si>
  <si>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</si>
  <si>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</si>
  <si>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</si>
  <si>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</si>
  <si>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</si>
  <si>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</si>
  <si>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</si>
  <si>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</si>
  <si>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</si>
  <si>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</si>
  <si>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</si>
  <si>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</si>
  <si>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</si>
  <si>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</si>
  <si>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</si>
  <si>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</si>
  <si>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</si>
  <si>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</si>
  <si>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</si>
  <si>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</si>
  <si>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</si>
  <si>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</si>
  <si>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</si>
  <si>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</si>
  <si>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</si>
  <si>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</si>
  <si>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</si>
  <si>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</si>
  <si>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</si>
  <si>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</si>
  <si>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</si>
  <si>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</si>
  <si>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</si>
  <si>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</si>
  <si>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</si>
  <si>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</si>
  <si>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</si>
  <si>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</si>
  <si>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</si>
  <si>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</si>
  <si>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</si>
  <si>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Apr</t>
  </si>
  <si>
    <t>Aug</t>
  </si>
  <si>
    <t>Dec</t>
  </si>
  <si>
    <t>Ja</t>
  </si>
  <si>
    <t>Sala 1</t>
  </si>
  <si>
    <t>Sala 2</t>
  </si>
  <si>
    <t>Sala 3</t>
  </si>
  <si>
    <t>Sala 4</t>
  </si>
  <si>
    <t>Sala 5</t>
  </si>
  <si>
    <t>Sala 6</t>
  </si>
  <si>
    <t>Sala 7</t>
  </si>
  <si>
    <t>Sala 8</t>
  </si>
  <si>
    <t>Sala 9</t>
  </si>
  <si>
    <t>Sala 10</t>
  </si>
  <si>
    <t>Sala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</si>
</sst>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umnos@educacionit.com" TargetMode="External"/><Relationship Id="rId1" Type="http://schemas.openxmlformats.org/officeDocument/2006/relationships/hyperlink" Target="mailto:carlos.rios@educacioni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F42A-37E3-4386-AC2C-6F505FC8B1BC}">
  <dimension ref="A1:D15"/>
  <sheetViews>
    <sheetView tabSelected="1" zoomScale="120" zoomScaleNormal="120" workbookViewId="0">
      <selection activeCell="A4" sqref="A4"/>
    </sheetView>
  </sheetViews>
  <sheetFormatPr baseColWidth="10" defaultRowHeight="15" x14ac:dyDescent="0.25"/>
  <cols>
    <col min="1" max="1" width="14.8554687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  <c r="C3" s="1" t="s">
        <v>3</v>
      </c>
    </row>
    <row r="5" spans="1:4" x14ac:dyDescent="0.25">
      <c r="A5" t="s">
        <v>4</v>
      </c>
      <c r="B5" t="s">
        <v>5</v>
      </c>
    </row>
    <row r="6" spans="1:4" x14ac:dyDescent="0.25">
      <c r="B6" t="s">
        <v>6</v>
      </c>
    </row>
    <row r="7" spans="1:4" x14ac:dyDescent="0.25">
      <c r="B7" t="s">
        <v>7</v>
      </c>
    </row>
    <row r="8" spans="1:4" x14ac:dyDescent="0.25">
      <c r="B8" s="1" t="s">
        <v>8</v>
      </c>
    </row>
    <row r="10" spans="1:4" x14ac:dyDescent="0.25">
      <c r="A10" t="s">
        <v>9</v>
      </c>
      <c r="B10" t="s">
        <v>10</v>
      </c>
    </row>
    <row r="14" spans="1:4" x14ac:dyDescent="0.25">
      <c r="A14" t="s">
        <v>11</v>
      </c>
      <c r="B14" t="s">
        <v>13</v>
      </c>
      <c r="C14" t="s">
        <v>15</v>
      </c>
      <c r="D14" t="s">
        <v>17</v>
      </c>
    </row>
    <row r="15" spans="1:4" x14ac:dyDescent="0.25">
      <c r="A15" t="s">
        <v>12</v>
      </c>
      <c r="B15" t="s">
        <v>14</v>
      </c>
      <c r="C15" t="s">
        <v>16</v>
      </c>
      <c r="D15" t="s">
        <v>18</v>
      </c>
    </row>
  </sheetData>
  <hyperlinks>
    <hyperlink ref="C3" r:id="rId1" xr:uid="{B50706F1-60F1-402B-9054-F2FFCDB5DB10}"/>
    <hyperlink ref="B8" r:id="rId2" xr:uid="{B3CC29FC-EF7F-47D0-A7BF-0B2B9FFAE0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16D4-4267-4FAA-B3AF-DAF7BB4FB3EB}">
  <dimension ref="A1:I15"/>
  <sheetViews>
    <sheetView zoomScale="90" zoomScaleNormal="90" workbookViewId="0">
      <selection activeCell="A10" sqref="A10"/>
    </sheetView>
  </sheetViews>
  <sheetFormatPr baseColWidth="10" defaultRowHeight="15" x14ac:dyDescent="0.25"/>
  <cols>
    <col min="1" max="1" width="14.85546875" bestFit="1" customWidth="1"/>
    <col min="4" max="4" width="13" bestFit="1" customWidth="1"/>
  </cols>
  <sheetData>
    <row r="1" spans="1:9" x14ac:dyDescent="0.25">
      <c r="A1" t="s">
        <v>22</v>
      </c>
      <c r="B1" t="s">
        <v>23</v>
      </c>
      <c r="D1" t="s">
        <v>31</v>
      </c>
    </row>
    <row r="2" spans="1:9" x14ac:dyDescent="0.25">
      <c r="A2" t="s">
        <v>33</v>
      </c>
    </row>
    <row r="4" spans="1:9" x14ac:dyDescent="0.25">
      <c r="F4" t="s">
        <v>25</v>
      </c>
      <c r="H4" t="s">
        <v>21</v>
      </c>
    </row>
    <row r="5" spans="1:9" x14ac:dyDescent="0.25">
      <c r="A5" t="s">
        <v>32</v>
      </c>
      <c r="F5" t="s">
        <v>26</v>
      </c>
    </row>
    <row r="6" spans="1:9" x14ac:dyDescent="0.25">
      <c r="F6" t="s">
        <v>27</v>
      </c>
    </row>
    <row r="7" spans="1:9" x14ac:dyDescent="0.25">
      <c r="F7" t="s">
        <v>28</v>
      </c>
    </row>
    <row r="8" spans="1:9" x14ac:dyDescent="0.25">
      <c r="I8" t="s">
        <v>29</v>
      </c>
    </row>
    <row r="9" spans="1:9" x14ac:dyDescent="0.25">
      <c r="I9" t="s">
        <v>30</v>
      </c>
    </row>
    <row r="10" spans="1:9" x14ac:dyDescent="0.25">
      <c r="A10">
        <f>Hoja1!A1+Hoja1!B1</f>
        <v>57</v>
      </c>
      <c r="C10" t="s">
        <v>19</v>
      </c>
      <c r="D10" t="s">
        <v>24</v>
      </c>
    </row>
    <row r="15" spans="1:9" x14ac:dyDescent="0.25">
      <c r="G15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4A59-5646-47A0-9E6A-007753F9D741}">
  <dimension ref="A1:E17"/>
  <sheetViews>
    <sheetView workbookViewId="0">
      <selection activeCell="G13" sqref="G13"/>
    </sheetView>
  </sheetViews>
  <sheetFormatPr baseColWidth="10" defaultRowHeight="15" x14ac:dyDescent="0.25"/>
  <cols>
    <col min="1" max="1" width="11.85546875" bestFit="1" customWidth="1"/>
  </cols>
  <sheetData>
    <row r="1" spans="1:5" x14ac:dyDescent="0.25">
      <c r="A1">
        <v>19</v>
      </c>
      <c r="B1">
        <v>38</v>
      </c>
      <c r="C1">
        <f>A1+B1</f>
        <v>57</v>
      </c>
      <c r="D1">
        <f>A1+B1</f>
        <v>57</v>
      </c>
    </row>
    <row r="2" spans="1:5" x14ac:dyDescent="0.25">
      <c r="A2">
        <v>45</v>
      </c>
      <c r="B2">
        <v>24</v>
      </c>
      <c r="C2">
        <f>A2-A1</f>
        <v>26</v>
      </c>
    </row>
    <row r="3" spans="1:5" x14ac:dyDescent="0.25">
      <c r="A3">
        <v>36</v>
      </c>
      <c r="B3">
        <v>39</v>
      </c>
      <c r="C3">
        <f>B4*A1</f>
        <v>494</v>
      </c>
    </row>
    <row r="4" spans="1:5" x14ac:dyDescent="0.25">
      <c r="A4">
        <v>18</v>
      </c>
      <c r="B4">
        <v>26</v>
      </c>
      <c r="C4">
        <f>A3/A1</f>
        <v>1.8947368421052631</v>
      </c>
    </row>
    <row r="5" spans="1:5" x14ac:dyDescent="0.25">
      <c r="E5">
        <f>A2*B2+B1</f>
        <v>1118</v>
      </c>
    </row>
    <row r="6" spans="1:5" x14ac:dyDescent="0.25">
      <c r="A6">
        <f>A1+A2+A3+A4+B1+B2+B3+B4</f>
        <v>245</v>
      </c>
      <c r="E6">
        <f>A2*(B2+B1)</f>
        <v>2790</v>
      </c>
    </row>
    <row r="7" spans="1:5" x14ac:dyDescent="0.25">
      <c r="A7">
        <f>SUM(A1:B4)</f>
        <v>245</v>
      </c>
    </row>
    <row r="8" spans="1:5" x14ac:dyDescent="0.25">
      <c r="A8">
        <f>SUM(A1:B4)</f>
        <v>245</v>
      </c>
    </row>
    <row r="9" spans="1:5" x14ac:dyDescent="0.25">
      <c r="E9">
        <f>A2+B1/(A3-B2-A1)</f>
        <v>39.571428571428569</v>
      </c>
    </row>
    <row r="10" spans="1:5" x14ac:dyDescent="0.25">
      <c r="A10">
        <f>A7/8</f>
        <v>30.625</v>
      </c>
    </row>
    <row r="11" spans="1:5" x14ac:dyDescent="0.25">
      <c r="A11">
        <f>SUM(A1:B4)/8</f>
        <v>30.625</v>
      </c>
    </row>
    <row r="12" spans="1:5" x14ac:dyDescent="0.25">
      <c r="A12">
        <f>AVERAGE(A1:B4)</f>
        <v>30.625</v>
      </c>
      <c r="C12">
        <f>SUM(A1:A4,B1:B4)</f>
        <v>245</v>
      </c>
    </row>
    <row r="13" spans="1:5" x14ac:dyDescent="0.25">
      <c r="C13">
        <f>SUM(A1:A5,B1:B5)</f>
        <v>245</v>
      </c>
    </row>
    <row r="14" spans="1:5" x14ac:dyDescent="0.25">
      <c r="A14">
        <f>AVERAGE(A1:B4)</f>
        <v>30.625</v>
      </c>
    </row>
    <row r="16" spans="1:5" x14ac:dyDescent="0.25">
      <c r="A16">
        <f>MAX(A1:B4)</f>
        <v>45</v>
      </c>
    </row>
    <row r="17" spans="1:1" x14ac:dyDescent="0.25">
      <c r="A17">
        <f>MIN(A1:B4)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E5E3-4C47-46D4-A6F8-78797BADA4BC}">
  <dimension ref="A2:M19"/>
  <sheetViews>
    <sheetView zoomScale="90" zoomScaleNormal="90" workbookViewId="0">
      <selection activeCell="D21" sqref="D21"/>
    </sheetView>
  </sheetViews>
  <sheetFormatPr baseColWidth="10" defaultRowHeight="15" x14ac:dyDescent="0.25"/>
  <sheetData>
    <row r="2" spans="1:13" x14ac:dyDescent="0.25">
      <c r="A2" t="s">
        <v>34</v>
      </c>
      <c r="B2" t="s">
        <v>41</v>
      </c>
      <c r="C2" t="s">
        <v>42</v>
      </c>
      <c r="D2" t="s">
        <v>50</v>
      </c>
      <c r="E2" t="s">
        <v>51</v>
      </c>
      <c r="F2" t="s">
        <v>58</v>
      </c>
      <c r="G2" t="s">
        <v>65</v>
      </c>
      <c r="H2" t="s">
        <v>66</v>
      </c>
      <c r="I2" t="s">
        <v>78</v>
      </c>
      <c r="J2" t="s">
        <v>90</v>
      </c>
      <c r="K2" t="s">
        <v>91</v>
      </c>
      <c r="L2" t="s">
        <v>102</v>
      </c>
      <c r="M2" t="s">
        <v>106</v>
      </c>
    </row>
    <row r="3" spans="1:13" x14ac:dyDescent="0.25">
      <c r="A3" t="s">
        <v>35</v>
      </c>
      <c r="B3" t="s">
        <v>41</v>
      </c>
      <c r="C3" t="s">
        <v>43</v>
      </c>
      <c r="D3" t="s">
        <v>50</v>
      </c>
      <c r="E3" t="s">
        <v>52</v>
      </c>
      <c r="F3" t="s">
        <v>59</v>
      </c>
      <c r="G3" t="s">
        <v>65</v>
      </c>
      <c r="H3" t="s">
        <v>67</v>
      </c>
      <c r="I3" t="s">
        <v>79</v>
      </c>
      <c r="J3" t="s">
        <v>90</v>
      </c>
      <c r="K3" t="s">
        <v>92</v>
      </c>
      <c r="L3" t="s">
        <v>79</v>
      </c>
      <c r="M3" t="s">
        <v>106</v>
      </c>
    </row>
    <row r="4" spans="1:13" x14ac:dyDescent="0.25">
      <c r="A4" t="s">
        <v>36</v>
      </c>
      <c r="B4" t="s">
        <v>41</v>
      </c>
      <c r="C4" t="s">
        <v>44</v>
      </c>
      <c r="D4" t="s">
        <v>50</v>
      </c>
      <c r="E4" t="s">
        <v>53</v>
      </c>
      <c r="F4" t="s">
        <v>60</v>
      </c>
      <c r="G4" t="s">
        <v>65</v>
      </c>
      <c r="H4" t="s">
        <v>68</v>
      </c>
      <c r="I4" t="s">
        <v>80</v>
      </c>
      <c r="J4" t="s">
        <v>90</v>
      </c>
      <c r="K4" t="s">
        <v>93</v>
      </c>
      <c r="L4" t="s">
        <v>80</v>
      </c>
      <c r="M4" t="s">
        <v>106</v>
      </c>
    </row>
    <row r="5" spans="1:13" x14ac:dyDescent="0.25">
      <c r="A5" t="s">
        <v>37</v>
      </c>
      <c r="B5" t="s">
        <v>41</v>
      </c>
      <c r="C5" t="s">
        <v>45</v>
      </c>
      <c r="D5" t="s">
        <v>50</v>
      </c>
      <c r="E5" t="s">
        <v>54</v>
      </c>
      <c r="F5" t="s">
        <v>61</v>
      </c>
      <c r="G5" t="s">
        <v>65</v>
      </c>
      <c r="H5" t="s">
        <v>69</v>
      </c>
      <c r="I5" t="s">
        <v>81</v>
      </c>
      <c r="J5" t="s">
        <v>90</v>
      </c>
      <c r="K5" t="s">
        <v>94</v>
      </c>
      <c r="L5" t="s">
        <v>103</v>
      </c>
      <c r="M5" t="s">
        <v>106</v>
      </c>
    </row>
    <row r="6" spans="1:13" x14ac:dyDescent="0.25">
      <c r="A6" t="s">
        <v>38</v>
      </c>
      <c r="B6" t="s">
        <v>41</v>
      </c>
      <c r="C6" t="s">
        <v>46</v>
      </c>
      <c r="D6" t="s">
        <v>50</v>
      </c>
      <c r="E6" t="s">
        <v>55</v>
      </c>
      <c r="F6" t="s">
        <v>62</v>
      </c>
      <c r="G6" t="s">
        <v>65</v>
      </c>
      <c r="H6" t="s">
        <v>70</v>
      </c>
      <c r="I6" t="s">
        <v>82</v>
      </c>
      <c r="J6" t="s">
        <v>90</v>
      </c>
      <c r="K6" t="s">
        <v>82</v>
      </c>
      <c r="L6" t="s">
        <v>82</v>
      </c>
      <c r="M6" t="s">
        <v>106</v>
      </c>
    </row>
    <row r="7" spans="1:13" x14ac:dyDescent="0.25">
      <c r="A7" t="s">
        <v>39</v>
      </c>
      <c r="B7" t="s">
        <v>41</v>
      </c>
      <c r="C7" t="s">
        <v>47</v>
      </c>
      <c r="D7" t="s">
        <v>50</v>
      </c>
      <c r="E7" t="s">
        <v>56</v>
      </c>
      <c r="F7" t="s">
        <v>63</v>
      </c>
      <c r="G7" t="s">
        <v>65</v>
      </c>
      <c r="H7" t="s">
        <v>71</v>
      </c>
      <c r="I7" t="s">
        <v>83</v>
      </c>
      <c r="J7" t="s">
        <v>90</v>
      </c>
      <c r="K7" t="s">
        <v>95</v>
      </c>
      <c r="L7" t="s">
        <v>83</v>
      </c>
      <c r="M7" t="s">
        <v>106</v>
      </c>
    </row>
    <row r="8" spans="1:13" x14ac:dyDescent="0.25">
      <c r="A8" t="s">
        <v>40</v>
      </c>
      <c r="B8" t="s">
        <v>41</v>
      </c>
      <c r="C8" t="s">
        <v>48</v>
      </c>
      <c r="D8" t="s">
        <v>50</v>
      </c>
      <c r="E8" t="s">
        <v>57</v>
      </c>
      <c r="F8" t="s">
        <v>64</v>
      </c>
      <c r="G8" t="s">
        <v>65</v>
      </c>
      <c r="H8" t="s">
        <v>72</v>
      </c>
      <c r="I8" t="s">
        <v>84</v>
      </c>
      <c r="J8" t="s">
        <v>90</v>
      </c>
      <c r="K8" t="s">
        <v>96</v>
      </c>
      <c r="L8" t="s">
        <v>84</v>
      </c>
      <c r="M8" t="s">
        <v>106</v>
      </c>
    </row>
    <row r="9" spans="1:13" x14ac:dyDescent="0.25">
      <c r="A9" t="s">
        <v>34</v>
      </c>
      <c r="B9" t="s">
        <v>41</v>
      </c>
      <c r="C9" t="s">
        <v>49</v>
      </c>
      <c r="D9" t="s">
        <v>50</v>
      </c>
      <c r="E9" t="s">
        <v>51</v>
      </c>
      <c r="F9" t="s">
        <v>58</v>
      </c>
      <c r="G9" t="s">
        <v>65</v>
      </c>
      <c r="H9" t="s">
        <v>73</v>
      </c>
      <c r="I9" t="s">
        <v>85</v>
      </c>
      <c r="J9" t="s">
        <v>90</v>
      </c>
      <c r="K9" t="s">
        <v>97</v>
      </c>
      <c r="L9" t="s">
        <v>104</v>
      </c>
      <c r="M9" t="s">
        <v>106</v>
      </c>
    </row>
    <row r="10" spans="1:13" x14ac:dyDescent="0.25">
      <c r="A10" t="s">
        <v>35</v>
      </c>
      <c r="B10" t="s">
        <v>41</v>
      </c>
      <c r="C10" t="s">
        <v>43</v>
      </c>
      <c r="D10" t="s">
        <v>50</v>
      </c>
      <c r="E10" t="s">
        <v>52</v>
      </c>
      <c r="F10" t="s">
        <v>59</v>
      </c>
      <c r="G10" t="s">
        <v>65</v>
      </c>
      <c r="H10" t="s">
        <v>74</v>
      </c>
      <c r="I10" t="s">
        <v>86</v>
      </c>
      <c r="J10" t="s">
        <v>90</v>
      </c>
      <c r="K10" t="s">
        <v>98</v>
      </c>
      <c r="L10" t="s">
        <v>86</v>
      </c>
      <c r="M10" t="s">
        <v>106</v>
      </c>
    </row>
    <row r="11" spans="1:13" x14ac:dyDescent="0.25">
      <c r="A11" t="s">
        <v>36</v>
      </c>
      <c r="B11" t="s">
        <v>41</v>
      </c>
      <c r="C11" t="s">
        <v>44</v>
      </c>
      <c r="D11" t="s">
        <v>50</v>
      </c>
      <c r="E11" t="s">
        <v>53</v>
      </c>
      <c r="F11" t="s">
        <v>60</v>
      </c>
      <c r="G11" t="s">
        <v>65</v>
      </c>
      <c r="H11" t="s">
        <v>75</v>
      </c>
      <c r="I11" t="s">
        <v>87</v>
      </c>
      <c r="J11" t="s">
        <v>90</v>
      </c>
      <c r="K11" t="s">
        <v>99</v>
      </c>
      <c r="L11" t="s">
        <v>87</v>
      </c>
      <c r="M11" t="s">
        <v>106</v>
      </c>
    </row>
    <row r="12" spans="1:13" x14ac:dyDescent="0.25">
      <c r="A12" t="s">
        <v>37</v>
      </c>
      <c r="B12" t="s">
        <v>41</v>
      </c>
      <c r="C12" t="s">
        <v>45</v>
      </c>
      <c r="D12" t="s">
        <v>50</v>
      </c>
      <c r="E12" t="s">
        <v>54</v>
      </c>
      <c r="F12" t="s">
        <v>61</v>
      </c>
      <c r="G12" t="s">
        <v>65</v>
      </c>
      <c r="H12" t="s">
        <v>76</v>
      </c>
      <c r="I12" t="s">
        <v>88</v>
      </c>
      <c r="J12" t="s">
        <v>90</v>
      </c>
      <c r="K12" t="s">
        <v>100</v>
      </c>
      <c r="L12" t="s">
        <v>88</v>
      </c>
      <c r="M12" t="s">
        <v>106</v>
      </c>
    </row>
    <row r="13" spans="1:13" x14ac:dyDescent="0.25">
      <c r="A13" t="s">
        <v>38</v>
      </c>
      <c r="B13" t="s">
        <v>41</v>
      </c>
      <c r="C13" t="s">
        <v>46</v>
      </c>
      <c r="D13" t="s">
        <v>50</v>
      </c>
      <c r="E13" t="s">
        <v>55</v>
      </c>
      <c r="F13" t="s">
        <v>62</v>
      </c>
      <c r="G13" t="s">
        <v>65</v>
      </c>
      <c r="H13" t="s">
        <v>77</v>
      </c>
      <c r="I13" t="s">
        <v>89</v>
      </c>
      <c r="J13" t="s">
        <v>90</v>
      </c>
      <c r="K13" t="s">
        <v>101</v>
      </c>
      <c r="L13" t="s">
        <v>105</v>
      </c>
      <c r="M13" t="s">
        <v>106</v>
      </c>
    </row>
    <row r="14" spans="1:13" x14ac:dyDescent="0.25">
      <c r="A14" t="s">
        <v>39</v>
      </c>
      <c r="B14" t="s">
        <v>41</v>
      </c>
      <c r="C14" t="s">
        <v>47</v>
      </c>
      <c r="D14" t="s">
        <v>50</v>
      </c>
      <c r="E14" t="s">
        <v>56</v>
      </c>
      <c r="F14" t="s">
        <v>63</v>
      </c>
      <c r="G14" t="s">
        <v>65</v>
      </c>
      <c r="H14" t="s">
        <v>66</v>
      </c>
      <c r="I14" t="s">
        <v>78</v>
      </c>
      <c r="J14" t="s">
        <v>90</v>
      </c>
      <c r="K14" t="s">
        <v>91</v>
      </c>
      <c r="L14" t="s">
        <v>102</v>
      </c>
      <c r="M14" t="s">
        <v>106</v>
      </c>
    </row>
    <row r="15" spans="1:13" x14ac:dyDescent="0.25">
      <c r="A15" t="s">
        <v>40</v>
      </c>
      <c r="B15" t="s">
        <v>41</v>
      </c>
      <c r="C15" t="s">
        <v>48</v>
      </c>
      <c r="D15" t="s">
        <v>50</v>
      </c>
      <c r="E15" t="s">
        <v>57</v>
      </c>
      <c r="F15" t="s">
        <v>64</v>
      </c>
      <c r="G15" t="s">
        <v>65</v>
      </c>
      <c r="H15" t="s">
        <v>67</v>
      </c>
      <c r="I15" t="s">
        <v>79</v>
      </c>
      <c r="J15" t="s">
        <v>90</v>
      </c>
      <c r="K15" t="s">
        <v>92</v>
      </c>
      <c r="L15" t="s">
        <v>79</v>
      </c>
      <c r="M15" t="s">
        <v>106</v>
      </c>
    </row>
    <row r="16" spans="1:13" x14ac:dyDescent="0.25">
      <c r="A16" t="s">
        <v>34</v>
      </c>
      <c r="B16" t="s">
        <v>41</v>
      </c>
      <c r="C16" t="s">
        <v>49</v>
      </c>
      <c r="D16" t="s">
        <v>50</v>
      </c>
      <c r="E16" t="s">
        <v>51</v>
      </c>
      <c r="F16" t="s">
        <v>58</v>
      </c>
      <c r="G16" t="s">
        <v>65</v>
      </c>
      <c r="H16" t="s">
        <v>68</v>
      </c>
      <c r="I16" t="s">
        <v>80</v>
      </c>
      <c r="J16" t="s">
        <v>90</v>
      </c>
      <c r="K16" t="s">
        <v>93</v>
      </c>
      <c r="L16" t="s">
        <v>80</v>
      </c>
      <c r="M16" t="s">
        <v>106</v>
      </c>
    </row>
    <row r="19" spans="1:13" x14ac:dyDescent="0.2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34</v>
      </c>
      <c r="I19" t="s">
        <v>35</v>
      </c>
      <c r="J19" t="s">
        <v>36</v>
      </c>
      <c r="K19" t="s">
        <v>37</v>
      </c>
      <c r="L19" t="s">
        <v>38</v>
      </c>
      <c r="M19" t="s">
        <v>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B5CD-B9B7-4CAF-A653-18584D84771F}">
  <dimension ref="A1:H11"/>
  <sheetViews>
    <sheetView workbookViewId="0">
      <selection activeCell="F12" sqref="F12"/>
    </sheetView>
  </sheetViews>
  <sheetFormatPr baseColWidth="10" defaultRowHeight="15" x14ac:dyDescent="0.25"/>
  <sheetData>
    <row r="1" spans="1:8" x14ac:dyDescent="0.25">
      <c r="A1" t="s">
        <v>107</v>
      </c>
      <c r="B1">
        <v>1</v>
      </c>
      <c r="C1">
        <v>100</v>
      </c>
      <c r="D1" t="s">
        <v>34</v>
      </c>
      <c r="E1" t="s">
        <v>41</v>
      </c>
      <c r="F1" t="s">
        <v>41</v>
      </c>
      <c r="G1" t="s">
        <v>41</v>
      </c>
      <c r="H1" t="s">
        <v>41</v>
      </c>
    </row>
    <row r="2" spans="1:8" x14ac:dyDescent="0.25">
      <c r="A2" t="s">
        <v>108</v>
      </c>
      <c r="B2">
        <v>2</v>
      </c>
      <c r="C2">
        <v>95</v>
      </c>
      <c r="D2" t="s">
        <v>34</v>
      </c>
      <c r="H2" t="s">
        <v>41</v>
      </c>
    </row>
    <row r="3" spans="1:8" x14ac:dyDescent="0.25">
      <c r="A3" t="s">
        <v>109</v>
      </c>
      <c r="B3">
        <v>3</v>
      </c>
      <c r="C3">
        <v>90</v>
      </c>
      <c r="D3" t="s">
        <v>34</v>
      </c>
      <c r="H3" t="s">
        <v>41</v>
      </c>
    </row>
    <row r="4" spans="1:8" x14ac:dyDescent="0.25">
      <c r="A4" t="s">
        <v>110</v>
      </c>
      <c r="B4">
        <v>4</v>
      </c>
      <c r="C4">
        <v>85</v>
      </c>
      <c r="D4" t="s">
        <v>34</v>
      </c>
      <c r="H4" t="s">
        <v>41</v>
      </c>
    </row>
    <row r="5" spans="1:8" x14ac:dyDescent="0.25">
      <c r="A5" t="s">
        <v>111</v>
      </c>
      <c r="B5">
        <v>5</v>
      </c>
      <c r="C5">
        <v>80</v>
      </c>
      <c r="D5" t="s">
        <v>34</v>
      </c>
      <c r="H5" t="s">
        <v>41</v>
      </c>
    </row>
    <row r="6" spans="1:8" x14ac:dyDescent="0.25">
      <c r="A6" t="s">
        <v>112</v>
      </c>
      <c r="B6">
        <v>6</v>
      </c>
      <c r="C6">
        <v>75</v>
      </c>
      <c r="D6" t="s">
        <v>34</v>
      </c>
      <c r="E6" t="s">
        <v>41</v>
      </c>
      <c r="F6" t="s">
        <v>41</v>
      </c>
      <c r="G6" t="s">
        <v>41</v>
      </c>
      <c r="H6" t="s">
        <v>41</v>
      </c>
    </row>
    <row r="7" spans="1:8" x14ac:dyDescent="0.25">
      <c r="A7" t="s">
        <v>113</v>
      </c>
      <c r="B7">
        <v>7</v>
      </c>
      <c r="C7">
        <v>70</v>
      </c>
      <c r="D7" t="s">
        <v>34</v>
      </c>
      <c r="E7" t="s">
        <v>41</v>
      </c>
      <c r="F7" t="s">
        <v>41</v>
      </c>
      <c r="G7" t="s">
        <v>41</v>
      </c>
      <c r="H7" t="s">
        <v>41</v>
      </c>
    </row>
    <row r="8" spans="1:8" x14ac:dyDescent="0.25">
      <c r="A8" t="s">
        <v>114</v>
      </c>
      <c r="B8">
        <v>8</v>
      </c>
      <c r="C8">
        <v>65</v>
      </c>
      <c r="D8" t="s">
        <v>34</v>
      </c>
      <c r="E8" t="s">
        <v>41</v>
      </c>
      <c r="F8" t="s">
        <v>41</v>
      </c>
      <c r="G8" t="s">
        <v>41</v>
      </c>
      <c r="H8" t="s">
        <v>41</v>
      </c>
    </row>
    <row r="9" spans="1:8" x14ac:dyDescent="0.25">
      <c r="A9" t="s">
        <v>115</v>
      </c>
      <c r="B9">
        <v>9</v>
      </c>
      <c r="C9">
        <v>60</v>
      </c>
      <c r="D9" t="s">
        <v>34</v>
      </c>
      <c r="E9" t="s">
        <v>41</v>
      </c>
      <c r="F9" t="s">
        <v>41</v>
      </c>
      <c r="G9" t="s">
        <v>41</v>
      </c>
      <c r="H9" t="s">
        <v>41</v>
      </c>
    </row>
    <row r="10" spans="1:8" x14ac:dyDescent="0.25">
      <c r="A10" t="s">
        <v>116</v>
      </c>
      <c r="B10">
        <v>10</v>
      </c>
      <c r="C10">
        <v>55</v>
      </c>
      <c r="D10" t="s">
        <v>34</v>
      </c>
    </row>
    <row r="11" spans="1:8" x14ac:dyDescent="0.25">
      <c r="A11" t="s">
        <v>117</v>
      </c>
      <c r="B11">
        <v>11</v>
      </c>
      <c r="C11">
        <v>50</v>
      </c>
      <c r="D1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</vt:lpstr>
      <vt:lpstr>Febrero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cp:lastPrinted>2021-10-23T14:14:19Z</cp:lastPrinted>
  <dcterms:created xsi:type="dcterms:W3CDTF">2021-10-23T13:08:04Z</dcterms:created>
  <dcterms:modified xsi:type="dcterms:W3CDTF">2021-10-23T15:52:31Z</dcterms:modified>
</cp:coreProperties>
</file>